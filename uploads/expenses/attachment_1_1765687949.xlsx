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dhaj\Downloads\"/>
    </mc:Choice>
  </mc:AlternateContent>
  <xr:revisionPtr revIDLastSave="0" documentId="13_ncr:1_{922815E2-AC44-42B9-A53E-9A570FAF0ABD}" xr6:coauthVersionLast="47" xr6:coauthVersionMax="47" xr10:uidLastSave="{00000000-0000-0000-0000-000000000000}"/>
  <bookViews>
    <workbookView xWindow="-120" yWindow="-120" windowWidth="29040" windowHeight="15720" xr2:uid="{C4387942-AA71-4B8B-90E6-3F26526EA464}"/>
  </bookViews>
  <sheets>
    <sheet name="LEDGER" sheetId="2" r:id="rId1"/>
    <sheet name="REPORT" sheetId="3" r:id="rId2"/>
  </sheets>
  <definedNames>
    <definedName name="_xlnm._FilterDatabase" localSheetId="0" hidden="1">LEDGER!$A$3:$AF$68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10" i="2"/>
  <c r="S11" i="2"/>
  <c r="S12" i="2"/>
  <c r="S13" i="2"/>
  <c r="S14" i="2"/>
  <c r="S15" i="2"/>
  <c r="S16" i="2"/>
  <c r="S18" i="2"/>
  <c r="S19" i="2"/>
  <c r="S20" i="2"/>
  <c r="S21" i="2"/>
  <c r="S22" i="2"/>
  <c r="S23" i="2"/>
  <c r="S25" i="2"/>
  <c r="S26" i="2"/>
  <c r="S28" i="2"/>
  <c r="S29" i="2"/>
  <c r="S30" i="2"/>
  <c r="S31" i="2"/>
  <c r="S32" i="2"/>
  <c r="S34" i="2"/>
  <c r="S35" i="2"/>
  <c r="S36" i="2"/>
  <c r="S37" i="2"/>
  <c r="S38" i="2"/>
  <c r="S39" i="2"/>
  <c r="S40" i="2"/>
  <c r="S42" i="2"/>
  <c r="S43" i="2"/>
  <c r="S44" i="2"/>
  <c r="S45" i="2"/>
  <c r="S46" i="2"/>
  <c r="S47" i="2"/>
  <c r="S49" i="2"/>
  <c r="S50" i="2"/>
  <c r="S51" i="2"/>
  <c r="S52" i="2"/>
  <c r="S53" i="2"/>
  <c r="S54" i="2"/>
  <c r="S55" i="2"/>
  <c r="S56" i="2"/>
  <c r="S57" i="2"/>
  <c r="S58" i="2"/>
  <c r="S59" i="2"/>
  <c r="S60" i="2"/>
  <c r="S62" i="2"/>
  <c r="S63" i="2"/>
  <c r="S64" i="2"/>
  <c r="S65" i="2"/>
  <c r="S66" i="2"/>
  <c r="S67" i="2"/>
  <c r="S68" i="2"/>
  <c r="V68" i="2" l="1"/>
  <c r="AA68" i="2"/>
  <c r="AC68" i="2"/>
  <c r="AD68" i="2" s="1"/>
  <c r="AF68" i="2"/>
  <c r="V67" i="2"/>
  <c r="AA67" i="2"/>
  <c r="AC67" i="2"/>
  <c r="AD67" i="2" s="1"/>
  <c r="AF67" i="2"/>
  <c r="V66" i="2"/>
  <c r="AA66" i="2"/>
  <c r="AC66" i="2"/>
  <c r="AD66" i="2" s="1"/>
  <c r="AF66" i="2"/>
  <c r="V65" i="2"/>
  <c r="AA65" i="2"/>
  <c r="AC65" i="2"/>
  <c r="AD65" i="2" s="1"/>
  <c r="AF65" i="2"/>
  <c r="V64" i="2"/>
  <c r="AA64" i="2"/>
  <c r="AC64" i="2"/>
  <c r="AD64" i="2" s="1"/>
  <c r="AF64" i="2"/>
  <c r="V63" i="2"/>
  <c r="AA63" i="2"/>
  <c r="AC63" i="2"/>
  <c r="AD63" i="2" s="1"/>
  <c r="AF63" i="2"/>
  <c r="V62" i="2"/>
  <c r="AA62" i="2"/>
  <c r="AC62" i="2"/>
  <c r="AD62" i="2" s="1"/>
  <c r="AF62" i="2"/>
  <c r="V48" i="2" l="1"/>
  <c r="AA48" i="2"/>
  <c r="AC48" i="2"/>
  <c r="AD48" i="2" s="1"/>
  <c r="AF48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7" i="2"/>
  <c r="AF46" i="2"/>
  <c r="AF45" i="2"/>
  <c r="AF44" i="2"/>
  <c r="AF43" i="2"/>
  <c r="AF42" i="2"/>
  <c r="AF40" i="2"/>
  <c r="AF39" i="2"/>
  <c r="AF38" i="2"/>
  <c r="AF37" i="2"/>
  <c r="AF36" i="2"/>
  <c r="AF35" i="2"/>
  <c r="AF34" i="2"/>
  <c r="AF32" i="2"/>
  <c r="AF31" i="2"/>
  <c r="AF30" i="2"/>
  <c r="AF29" i="2"/>
  <c r="AF28" i="2"/>
  <c r="AF26" i="2"/>
  <c r="AF25" i="2"/>
  <c r="AF23" i="2"/>
  <c r="AF22" i="2"/>
  <c r="AF21" i="2"/>
  <c r="AF20" i="2"/>
  <c r="AF19" i="2"/>
  <c r="AF18" i="2"/>
  <c r="AF16" i="2"/>
  <c r="AF15" i="2"/>
  <c r="AF14" i="2"/>
  <c r="AF13" i="2"/>
  <c r="AF12" i="2"/>
  <c r="AF11" i="2"/>
  <c r="AF10" i="2"/>
  <c r="AF8" i="2"/>
  <c r="AF7" i="2"/>
  <c r="AF6" i="2"/>
  <c r="AF5" i="2"/>
  <c r="AC60" i="2"/>
  <c r="AD60" i="2" s="1"/>
  <c r="AC59" i="2"/>
  <c r="AD59" i="2" s="1"/>
  <c r="AC58" i="2"/>
  <c r="AD58" i="2" s="1"/>
  <c r="AC57" i="2"/>
  <c r="AD57" i="2" s="1"/>
  <c r="AC56" i="2"/>
  <c r="AD56" i="2" s="1"/>
  <c r="AC55" i="2"/>
  <c r="AD55" i="2" s="1"/>
  <c r="AC54" i="2"/>
  <c r="AD54" i="2" s="1"/>
  <c r="AC53" i="2"/>
  <c r="AD53" i="2" s="1"/>
  <c r="AC52" i="2"/>
  <c r="AD52" i="2" s="1"/>
  <c r="AC51" i="2"/>
  <c r="AD51" i="2" s="1"/>
  <c r="AC50" i="2"/>
  <c r="AD50" i="2" s="1"/>
  <c r="AC49" i="2"/>
  <c r="AD49" i="2" s="1"/>
  <c r="AC47" i="2"/>
  <c r="AD47" i="2" s="1"/>
  <c r="AC46" i="2"/>
  <c r="AD46" i="2" s="1"/>
  <c r="AC45" i="2"/>
  <c r="AD45" i="2" s="1"/>
  <c r="AC44" i="2"/>
  <c r="AD44" i="2" s="1"/>
  <c r="AC43" i="2"/>
  <c r="AD43" i="2" s="1"/>
  <c r="AC42" i="2"/>
  <c r="AD42" i="2" s="1"/>
  <c r="AC40" i="2"/>
  <c r="AD40" i="2" s="1"/>
  <c r="AC39" i="2"/>
  <c r="AD39" i="2" s="1"/>
  <c r="AC38" i="2"/>
  <c r="AD38" i="2" s="1"/>
  <c r="AC37" i="2"/>
  <c r="AD37" i="2" s="1"/>
  <c r="AC36" i="2"/>
  <c r="AD36" i="2" s="1"/>
  <c r="AC35" i="2"/>
  <c r="AD35" i="2" s="1"/>
  <c r="AC34" i="2"/>
  <c r="AD34" i="2" s="1"/>
  <c r="AC32" i="2"/>
  <c r="AD32" i="2" s="1"/>
  <c r="AC31" i="2"/>
  <c r="AD31" i="2" s="1"/>
  <c r="AC30" i="2"/>
  <c r="AD30" i="2" s="1"/>
  <c r="AC29" i="2"/>
  <c r="AD29" i="2" s="1"/>
  <c r="AC28" i="2"/>
  <c r="AD28" i="2" s="1"/>
  <c r="AC26" i="2"/>
  <c r="AD26" i="2" s="1"/>
  <c r="AC25" i="2"/>
  <c r="AD25" i="2" s="1"/>
  <c r="AC23" i="2"/>
  <c r="AD23" i="2" s="1"/>
  <c r="AC22" i="2"/>
  <c r="AD22" i="2" s="1"/>
  <c r="AC21" i="2"/>
  <c r="AD21" i="2" s="1"/>
  <c r="AC20" i="2"/>
  <c r="AD20" i="2" s="1"/>
  <c r="AC19" i="2"/>
  <c r="AD19" i="2" s="1"/>
  <c r="AC18" i="2"/>
  <c r="AD18" i="2" s="1"/>
  <c r="AC16" i="2"/>
  <c r="AD16" i="2" s="1"/>
  <c r="AC15" i="2"/>
  <c r="AD15" i="2" s="1"/>
  <c r="AC14" i="2"/>
  <c r="AD14" i="2" s="1"/>
  <c r="AC13" i="2"/>
  <c r="AD13" i="2" s="1"/>
  <c r="AC12" i="2"/>
  <c r="AD12" i="2" s="1"/>
  <c r="AC11" i="2"/>
  <c r="AD11" i="2" s="1"/>
  <c r="AC10" i="2"/>
  <c r="AD10" i="2" s="1"/>
  <c r="AC8" i="2"/>
  <c r="AD8" i="2" s="1"/>
  <c r="AC7" i="2"/>
  <c r="AD7" i="2" s="1"/>
  <c r="AC6" i="2"/>
  <c r="AD6" i="2" s="1"/>
  <c r="AC5" i="2"/>
  <c r="AD5" i="2" s="1"/>
  <c r="AA4" i="2"/>
  <c r="AA5" i="2"/>
  <c r="AA6" i="2"/>
  <c r="AA7" i="2"/>
  <c r="AA8" i="2"/>
  <c r="AA10" i="2"/>
  <c r="AA11" i="2"/>
  <c r="AA12" i="2"/>
  <c r="AA13" i="2"/>
  <c r="AA14" i="2"/>
  <c r="AA15" i="2"/>
  <c r="AA16" i="2"/>
  <c r="AA18" i="2"/>
  <c r="AA19" i="2"/>
  <c r="AA20" i="2"/>
  <c r="AA21" i="2"/>
  <c r="AA22" i="2"/>
  <c r="AA23" i="2"/>
  <c r="AA25" i="2"/>
  <c r="AA26" i="2"/>
  <c r="AA28" i="2"/>
  <c r="AA29" i="2"/>
  <c r="AA30" i="2"/>
  <c r="AA31" i="2"/>
  <c r="AA32" i="2"/>
  <c r="AA34" i="2"/>
  <c r="AA35" i="2"/>
  <c r="AA36" i="2"/>
  <c r="AA37" i="2"/>
  <c r="AA38" i="2"/>
  <c r="AA39" i="2"/>
  <c r="AA40" i="2"/>
  <c r="AA42" i="2"/>
  <c r="AA43" i="2"/>
  <c r="AA44" i="2"/>
  <c r="AA45" i="2"/>
  <c r="AA46" i="2"/>
  <c r="AA47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V60" i="2"/>
  <c r="V59" i="2"/>
  <c r="V58" i="2"/>
  <c r="V57" i="2"/>
  <c r="V56" i="2"/>
  <c r="V55" i="2"/>
  <c r="V54" i="2"/>
  <c r="V53" i="2"/>
  <c r="V52" i="2"/>
  <c r="V51" i="2"/>
  <c r="V50" i="2"/>
  <c r="V49" i="2"/>
  <c r="V47" i="2"/>
  <c r="V46" i="2"/>
  <c r="V45" i="2"/>
  <c r="V44" i="2"/>
  <c r="V43" i="2"/>
  <c r="V42" i="2"/>
  <c r="V40" i="2"/>
  <c r="V39" i="2"/>
  <c r="V38" i="2"/>
  <c r="V37" i="2"/>
  <c r="V36" i="2"/>
  <c r="V35" i="2"/>
  <c r="V34" i="2"/>
  <c r="V32" i="2"/>
  <c r="V31" i="2"/>
  <c r="V30" i="2"/>
  <c r="V29" i="2"/>
  <c r="V28" i="2"/>
  <c r="V26" i="2"/>
  <c r="V25" i="2"/>
  <c r="V23" i="2"/>
  <c r="V22" i="2"/>
  <c r="V21" i="2"/>
  <c r="V20" i="2"/>
  <c r="V19" i="2"/>
  <c r="V18" i="2"/>
  <c r="V16" i="2"/>
  <c r="V15" i="2"/>
  <c r="V14" i="2"/>
  <c r="V13" i="2"/>
  <c r="V12" i="2"/>
  <c r="V11" i="2"/>
  <c r="V10" i="2"/>
  <c r="V8" i="2"/>
  <c r="V7" i="2"/>
  <c r="V6" i="2"/>
  <c r="V5" i="2"/>
  <c r="AF4" i="2" l="1"/>
  <c r="AC4" i="2"/>
  <c r="AD4" i="2" s="1"/>
  <c r="V4" i="2"/>
  <c r="Q2" i="2"/>
  <c r="V2" i="2" l="1"/>
  <c r="J2" i="2"/>
  <c r="AD2" i="2"/>
  <c r="Y2" i="2"/>
  <c r="AF2" i="2" l="1"/>
  <c r="AC2" i="2"/>
</calcChain>
</file>

<file path=xl/sharedStrings.xml><?xml version="1.0" encoding="utf-8"?>
<sst xmlns="http://schemas.openxmlformats.org/spreadsheetml/2006/main" count="427" uniqueCount="116">
  <si>
    <t>YEAR</t>
  </si>
  <si>
    <t>SA NO</t>
  </si>
  <si>
    <t>BL NO</t>
  </si>
  <si>
    <t>POD</t>
  </si>
  <si>
    <t>ETA</t>
  </si>
  <si>
    <t xml:space="preserve">SERV FEES </t>
  </si>
  <si>
    <t>YTS</t>
  </si>
  <si>
    <t>Grand Total</t>
  </si>
  <si>
    <t>BL DATE</t>
  </si>
  <si>
    <t>CONTAINERS</t>
  </si>
  <si>
    <t>GROSS LENGTH</t>
  </si>
  <si>
    <t>GROSS GIRTH</t>
  </si>
  <si>
    <t>GROSS VOL</t>
  </si>
  <si>
    <t>PCS</t>
  </si>
  <si>
    <t>SERV FEES</t>
  </si>
  <si>
    <t>INV. PRICE</t>
  </si>
  <si>
    <t>Inv Value</t>
  </si>
  <si>
    <t>INVOICE DATE</t>
  </si>
  <si>
    <t>Sales G ALLOWANE</t>
  </si>
  <si>
    <t>Sales L ALLOWANCE</t>
  </si>
  <si>
    <t>BASE PRICE</t>
  </si>
  <si>
    <t>SALES PRICE</t>
  </si>
  <si>
    <t>SALES VALUE</t>
  </si>
  <si>
    <t>Values</t>
  </si>
  <si>
    <t xml:space="preserve">CONTAINERS </t>
  </si>
  <si>
    <t xml:space="preserve">SALES VALUE </t>
  </si>
  <si>
    <t>Purchase Value</t>
  </si>
  <si>
    <t>Purchase Volume</t>
  </si>
  <si>
    <t>P G ALLOWANCE</t>
  </si>
  <si>
    <t>P L ALLOWANCE</t>
  </si>
  <si>
    <t>P Base Price</t>
  </si>
  <si>
    <t>Purchase Price</t>
  </si>
  <si>
    <t>PURCHASE</t>
  </si>
  <si>
    <t>SALES</t>
  </si>
  <si>
    <t xml:space="preserve">Purchase Value </t>
  </si>
  <si>
    <t xml:space="preserve">Sales Inv Value </t>
  </si>
  <si>
    <t>SALES VOL</t>
  </si>
  <si>
    <t>Purchase Vol</t>
  </si>
  <si>
    <t>INVOICE UNDER</t>
  </si>
  <si>
    <t>CODRIN, SG</t>
  </si>
  <si>
    <t>CODRIN, SG Total</t>
  </si>
  <si>
    <t>Diff</t>
  </si>
  <si>
    <t>PRODUCT</t>
  </si>
  <si>
    <t>SHORTS</t>
  </si>
  <si>
    <t>LONGS</t>
  </si>
  <si>
    <t>SA-HEC-001-2024</t>
  </si>
  <si>
    <t>SA-HEC-002-2024</t>
  </si>
  <si>
    <t>SA-HEC-003-2024</t>
  </si>
  <si>
    <t>SA-HEC-001-2025</t>
  </si>
  <si>
    <t>SA-HEC-002-2025</t>
  </si>
  <si>
    <t>SA-HEC-003-2025</t>
  </si>
  <si>
    <t>SA-HEC-004-2025</t>
  </si>
  <si>
    <t>SA-HEC-005-2025</t>
  </si>
  <si>
    <t>COSU6402174430</t>
  </si>
  <si>
    <t xml:space="preserve">COSU6397157600 </t>
  </si>
  <si>
    <t xml:space="preserve">COSU6406201170 </t>
  </si>
  <si>
    <t>COSU6407737370</t>
  </si>
  <si>
    <t>COSU6398577910</t>
  </si>
  <si>
    <t>COSU6406774960</t>
  </si>
  <si>
    <t>COSU6409108040</t>
  </si>
  <si>
    <t>COSU6406776310</t>
  </si>
  <si>
    <t>FSCU8732136</t>
  </si>
  <si>
    <t>CBHU9172260</t>
  </si>
  <si>
    <t>DFSU7040919</t>
  </si>
  <si>
    <t>TCLU1893014</t>
  </si>
  <si>
    <t>FCIU9565522</t>
  </si>
  <si>
    <t>FCIU9574777</t>
  </si>
  <si>
    <t>CSNU6840678</t>
  </si>
  <si>
    <t>CCLU7912291</t>
  </si>
  <si>
    <t>CBHU8819795</t>
  </si>
  <si>
    <t>OOCU7641265</t>
  </si>
  <si>
    <t>FCIU9669131</t>
  </si>
  <si>
    <t>FCIU9624857</t>
  </si>
  <si>
    <t>TEMU6053723</t>
  </si>
  <si>
    <t>FCIU7004477</t>
  </si>
  <si>
    <t>TIIU5574984</t>
  </si>
  <si>
    <t>TEMU6548867</t>
  </si>
  <si>
    <t>CCLU7363231</t>
  </si>
  <si>
    <t>CAIU4510750</t>
  </si>
  <si>
    <t>CSLU6008640</t>
  </si>
  <si>
    <t>DFSU6786190</t>
  </si>
  <si>
    <t>CSLU6295154</t>
  </si>
  <si>
    <t>CSLU6199443</t>
  </si>
  <si>
    <t>OOCU6543650</t>
  </si>
  <si>
    <t>OOCU8744720</t>
  </si>
  <si>
    <t>OOCU8511688</t>
  </si>
  <si>
    <t>FFAU3171817</t>
  </si>
  <si>
    <t>OOCU7249505</t>
  </si>
  <si>
    <t>BEAU5566451</t>
  </si>
  <si>
    <t>CSNU6661902</t>
  </si>
  <si>
    <t>TGBU8737221</t>
  </si>
  <si>
    <t>OOCU7917076</t>
  </si>
  <si>
    <t>OOCU6960057</t>
  </si>
  <si>
    <t>CCLU7335775</t>
  </si>
  <si>
    <t>CSLU6078518</t>
  </si>
  <si>
    <t>CBHU9448929</t>
  </si>
  <si>
    <t>SEKU4679790</t>
  </si>
  <si>
    <t>TGBU4868368</t>
  </si>
  <si>
    <t>TCNU1328284</t>
  </si>
  <si>
    <t>FFAU3499278</t>
  </si>
  <si>
    <t>FFAU3615486</t>
  </si>
  <si>
    <t>FSCU8983907</t>
  </si>
  <si>
    <t>FCIU9691650</t>
  </si>
  <si>
    <t>DFSU7439750</t>
  </si>
  <si>
    <t>SEMI LONGS</t>
  </si>
  <si>
    <t>SA-HEC-006-2025</t>
  </si>
  <si>
    <t>COSU6409144070</t>
  </si>
  <si>
    <t>TGBU9834186</t>
  </si>
  <si>
    <t>TCLU9703640</t>
  </si>
  <si>
    <t>TIIU5952549</t>
  </si>
  <si>
    <t>CBHU8942120</t>
  </si>
  <si>
    <t>CSNU6597526</t>
  </si>
  <si>
    <t>PURCHASE CFT</t>
  </si>
  <si>
    <t>CHENNAI</t>
  </si>
  <si>
    <t>MUNDRA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</si>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</sst>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#,##0.000"/>
    <numFmt numFmtId="168" formatCode="[$-409]mmm/yy;@"/>
    <numFmt numFmtId="169" formatCode="_-&quot;$&quot;\ * #,##0.00_-;\-&quot;$&quot;\ * #,##0.00_-;_-&quot;$&quot;\ * &quot;-&quot;??_-;_-@_-"/>
    <numFmt numFmtId="170" formatCode="0.000"/>
    <numFmt numFmtId="174" formatCode="#,##0.0000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9" fontId="6" fillId="0" borderId="0" applyFont="0" applyFill="0" applyBorder="0" applyAlignment="0" applyProtection="0"/>
  </cellStyleXfs>
  <cellXfs count="80">
    <xf numFmtId="0" fontId="0" fillId="0" borderId="0" xfId="0"/>
    <xf numFmtId="1" fontId="4" fillId="0" borderId="10" xfId="0" applyNumberFormat="1" applyFont="1" applyBorder="1" applyAlignment="1">
      <alignment horizontal="center"/>
    </xf>
    <xf numFmtId="1" fontId="4" fillId="0" borderId="10" xfId="1" applyNumberFormat="1" applyFont="1" applyFill="1" applyBorder="1" applyAlignment="1">
      <alignment horizontal="center"/>
    </xf>
    <xf numFmtId="15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8" fontId="4" fillId="0" borderId="10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67" fontId="4" fillId="0" borderId="10" xfId="0" applyNumberFormat="1" applyFont="1" applyBorder="1" applyAlignment="1">
      <alignment horizontal="center"/>
    </xf>
    <xf numFmtId="15" fontId="4" fillId="0" borderId="10" xfId="2" applyNumberFormat="1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5" fontId="2" fillId="2" borderId="10" xfId="0" applyNumberFormat="1" applyFont="1" applyFill="1" applyBorder="1" applyAlignment="1">
      <alignment horizontal="center"/>
    </xf>
    <xf numFmtId="2" fontId="2" fillId="2" borderId="10" xfId="0" applyNumberFormat="1" applyFont="1" applyFill="1" applyBorder="1" applyAlignment="1">
      <alignment horizontal="center"/>
    </xf>
    <xf numFmtId="167" fontId="2" fillId="2" borderId="1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pivotButton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5" fillId="0" borderId="0" xfId="2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5" fontId="7" fillId="4" borderId="2" xfId="0" applyNumberFormat="1" applyFont="1" applyFill="1" applyBorder="1" applyAlignment="1">
      <alignment horizontal="center"/>
    </xf>
    <xf numFmtId="165" fontId="7" fillId="4" borderId="3" xfId="0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165" fontId="7" fillId="3" borderId="8" xfId="0" applyNumberFormat="1" applyFont="1" applyFill="1" applyBorder="1" applyAlignment="1">
      <alignment horizontal="center"/>
    </xf>
    <xf numFmtId="165" fontId="7" fillId="3" borderId="9" xfId="0" applyNumberFormat="1" applyFont="1" applyFill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7" fontId="7" fillId="4" borderId="2" xfId="0" applyNumberFormat="1" applyFont="1" applyFill="1" applyBorder="1" applyAlignment="1">
      <alignment horizontal="center"/>
    </xf>
    <xf numFmtId="167" fontId="7" fillId="3" borderId="8" xfId="0" applyNumberFormat="1" applyFont="1" applyFill="1" applyBorder="1" applyAlignment="1">
      <alignment horizontal="center"/>
    </xf>
    <xf numFmtId="2" fontId="4" fillId="4" borderId="10" xfId="0" applyNumberFormat="1" applyFont="1" applyFill="1" applyBorder="1" applyAlignment="1">
      <alignment horizontal="center"/>
    </xf>
    <xf numFmtId="1" fontId="4" fillId="4" borderId="10" xfId="0" applyNumberFormat="1" applyFont="1" applyFill="1" applyBorder="1" applyAlignment="1">
      <alignment horizontal="center"/>
    </xf>
    <xf numFmtId="3" fontId="4" fillId="4" borderId="10" xfId="0" applyNumberFormat="1" applyFont="1" applyFill="1" applyBorder="1" applyAlignment="1">
      <alignment horizontal="center"/>
    </xf>
    <xf numFmtId="1" fontId="2" fillId="4" borderId="15" xfId="0" applyNumberFormat="1" applyFont="1" applyFill="1" applyBorder="1" applyAlignment="1">
      <alignment horizontal="center"/>
    </xf>
    <xf numFmtId="3" fontId="2" fillId="4" borderId="15" xfId="0" applyNumberFormat="1" applyFont="1" applyFill="1" applyBorder="1" applyAlignment="1">
      <alignment horizontal="center"/>
    </xf>
    <xf numFmtId="1" fontId="2" fillId="2" borderId="16" xfId="0" applyNumberFormat="1" applyFont="1" applyFill="1" applyBorder="1" applyAlignment="1">
      <alignment horizontal="center"/>
    </xf>
    <xf numFmtId="167" fontId="2" fillId="4" borderId="15" xfId="0" applyNumberFormat="1" applyFont="1" applyFill="1" applyBorder="1" applyAlignment="1">
      <alignment horizontal="center"/>
    </xf>
    <xf numFmtId="167" fontId="4" fillId="4" borderId="10" xfId="0" applyNumberFormat="1" applyFont="1" applyFill="1" applyBorder="1" applyAlignment="1">
      <alignment horizontal="center"/>
    </xf>
    <xf numFmtId="1" fontId="2" fillId="3" borderId="15" xfId="0" applyNumberFormat="1" applyFont="1" applyFill="1" applyBorder="1" applyAlignment="1">
      <alignment horizontal="center"/>
    </xf>
    <xf numFmtId="2" fontId="2" fillId="3" borderId="15" xfId="0" applyNumberFormat="1" applyFont="1" applyFill="1" applyBorder="1" applyAlignment="1">
      <alignment horizontal="center"/>
    </xf>
    <xf numFmtId="3" fontId="2" fillId="3" borderId="15" xfId="0" applyNumberFormat="1" applyFont="1" applyFill="1" applyBorder="1" applyAlignment="1">
      <alignment horizontal="center"/>
    </xf>
    <xf numFmtId="37" fontId="2" fillId="3" borderId="17" xfId="0" applyNumberFormat="1" applyFont="1" applyFill="1" applyBorder="1" applyAlignment="1">
      <alignment horizontal="center"/>
    </xf>
    <xf numFmtId="170" fontId="4" fillId="3" borderId="10" xfId="0" applyNumberFormat="1" applyFont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3" fontId="4" fillId="3" borderId="10" xfId="3" applyNumberFormat="1" applyFont="1" applyFill="1" applyBorder="1" applyAlignment="1">
      <alignment horizontal="center"/>
    </xf>
    <xf numFmtId="3" fontId="4" fillId="3" borderId="10" xfId="0" applyNumberFormat="1" applyFont="1" applyFill="1" applyBorder="1" applyAlignment="1">
      <alignment horizontal="center"/>
    </xf>
    <xf numFmtId="37" fontId="4" fillId="3" borderId="10" xfId="0" applyNumberFormat="1" applyFont="1" applyFill="1" applyBorder="1" applyAlignment="1">
      <alignment horizontal="center"/>
    </xf>
    <xf numFmtId="3" fontId="4" fillId="3" borderId="10" xfId="1" applyNumberFormat="1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22" xfId="0" applyNumberFormat="1" applyFont="1" applyBorder="1" applyAlignment="1">
      <alignment horizontal="center"/>
    </xf>
    <xf numFmtId="4" fontId="4" fillId="4" borderId="10" xfId="0" applyNumberFormat="1" applyFont="1" applyFill="1" applyBorder="1" applyAlignment="1">
      <alignment horizontal="center"/>
    </xf>
    <xf numFmtId="167" fontId="5" fillId="0" borderId="0" xfId="0" applyNumberFormat="1" applyFont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5" fillId="4" borderId="23" xfId="0" applyFont="1" applyFill="1" applyBorder="1"/>
    <xf numFmtId="0" fontId="5" fillId="4" borderId="24" xfId="0" applyFont="1" applyFill="1" applyBorder="1"/>
    <xf numFmtId="167" fontId="7" fillId="4" borderId="24" xfId="0" applyNumberFormat="1" applyFont="1" applyFill="1" applyBorder="1" applyAlignment="1">
      <alignment horizontal="center"/>
    </xf>
    <xf numFmtId="164" fontId="7" fillId="4" borderId="24" xfId="2" applyNumberFormat="1" applyFont="1" applyFill="1" applyBorder="1" applyAlignment="1">
      <alignment horizontal="center"/>
    </xf>
    <xf numFmtId="0" fontId="5" fillId="3" borderId="25" xfId="0" applyFont="1" applyFill="1" applyBorder="1"/>
    <xf numFmtId="0" fontId="5" fillId="3" borderId="19" xfId="0" applyFont="1" applyFill="1" applyBorder="1"/>
    <xf numFmtId="0" fontId="7" fillId="3" borderId="18" xfId="0" applyFont="1" applyFill="1" applyBorder="1" applyAlignment="1">
      <alignment horizontal="center"/>
    </xf>
    <xf numFmtId="164" fontId="7" fillId="3" borderId="19" xfId="2" applyNumberFormat="1" applyFont="1" applyFill="1" applyBorder="1" applyAlignment="1">
      <alignment horizontal="center"/>
    </xf>
    <xf numFmtId="164" fontId="7" fillId="3" borderId="20" xfId="2" applyNumberFormat="1" applyFont="1" applyFill="1" applyBorder="1" applyAlignment="1">
      <alignment horizontal="center"/>
    </xf>
    <xf numFmtId="3" fontId="5" fillId="0" borderId="0" xfId="0" applyNumberFormat="1" applyFont="1"/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174" fontId="4" fillId="4" borderId="10" xfId="0" applyNumberFormat="1" applyFont="1" applyFill="1" applyBorder="1" applyAlignment="1">
      <alignment horizontal="center"/>
    </xf>
  </cellXfs>
  <cellStyles count="5">
    <cellStyle name="Comma" xfId="1" builtinId="3"/>
    <cellStyle name="Comma 2" xfId="3" xr:uid="{1613459C-6BE1-4FE6-99CE-28B58BCBF093}"/>
    <cellStyle name="Currency" xfId="2" builtinId="4"/>
    <cellStyle name="Currency 3" xfId="4" xr:uid="{6F2DF1DB-5DAB-4CF0-A13D-F3C70430601F}"/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#,##0.000"/>
    </dxf>
    <dxf>
      <font>
        <b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/>
      </font>
    </dxf>
    <dxf>
      <fill>
        <patternFill patternType="solid">
          <bgColor theme="8" tint="0.79998168889431442"/>
        </patternFill>
      </fill>
    </dxf>
    <dxf>
      <font>
        <b/>
      </font>
    </dxf>
    <dxf>
      <numFmt numFmtId="165" formatCode="_(&quot;$&quot;* #,##0.00_);_(&quot;$&quot;* \(#,##0.00\);_(&quot;$&quot;* &quot;-&quot;??_);_(@_)"/>
    </dxf>
    <dxf>
      <fill>
        <patternFill patternType="solid">
          <bgColor theme="8" tint="0.79998168889431442"/>
        </patternFill>
      </fill>
    </dxf>
    <dxf>
      <font>
        <b/>
      </font>
    </dxf>
    <dxf>
      <numFmt numFmtId="3" formatCode="#,##0"/>
    </dxf>
    <dxf>
      <numFmt numFmtId="167" formatCode="#,##0.000"/>
    </dxf>
    <dxf>
      <fill>
        <patternFill patternType="solid">
          <bgColor theme="5" tint="0.79998168889431442"/>
        </patternFill>
      </fill>
    </dxf>
    <dxf>
      <font>
        <b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1" formatCode="#,##0_);\(#,##0\)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1" formatCode="#,##0_);\(#,##0\)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0" formatCode="0.0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7" formatCode="#,##0.0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7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8" formatCode="[$-409]mmm/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7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2" formatCode="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2" formatCode="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2" formatCode="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2" formatCode="d\-mmm\-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698.813432291667" createdVersion="8" refreshedVersion="8" minRefreshableVersion="3" recordCount="66" xr:uid="{B045C607-C1F3-4D90-826F-D629E530E64B}">
  <cacheSource type="worksheet">
    <worksheetSource ref="A3:AF1012" sheet="LEDGER"/>
  </cacheSource>
  <cacheFields count="31">
    <cacheField name="INVOICE UNDER" numFmtId="0">
      <sharedItems containsBlank="1" count="3">
        <s v="CODRIN, SG"/>
        <m/>
        <s v="CODRIN" u="1"/>
      </sharedItems>
    </cacheField>
    <cacheField name="YEAR" numFmtId="0">
      <sharedItems containsString="0" containsBlank="1" containsNumber="1" containsInteger="1" minValue="2024" maxValue="2025"/>
    </cacheField>
    <cacheField name="INVOICE DATE" numFmtId="0">
      <sharedItems containsNonDate="0" containsDate="1" containsString="0" containsBlank="1" minDate="2024-10-24T00:00:00" maxDate="2025-02-08T00:00:00" count="19">
        <d v="2024-12-17T00:00:00"/>
        <m/>
        <d v="2024-12-29T00:00:00"/>
        <d v="2025-01-12T00:00:00"/>
        <d v="2025-01-21T00:00:00"/>
        <d v="2025-01-26T00:00:00"/>
        <d v="2025-02-02T00:00:00"/>
        <d v="2025-02-07T00:00:00"/>
        <d v="2024-10-24T00:00:00" u="1"/>
        <d v="2024-12-01T00:00:00" u="1"/>
        <d v="2024-12-02T00:00:00" u="1"/>
        <d v="2024-12-12T00:00:00" u="1"/>
        <d v="2024-12-19T00:00:00" u="1"/>
        <d v="2024-12-25T00:00:00" u="1"/>
        <d v="2025-01-10T00:00:00" u="1"/>
        <d v="2025-01-17T00:00:00" u="1"/>
        <d v="2025-01-31T00:00:00" u="1"/>
        <d v="2024-12-20T00:00:00" u="1"/>
        <d v="2025-01-01T00:00:00" u="1"/>
      </sharedItems>
    </cacheField>
    <cacheField name="SA NO" numFmtId="0">
      <sharedItems containsBlank="1" count="25">
        <s v="SA-HEC-001-2024"/>
        <m/>
        <s v="SA-HEC-002-2024"/>
        <s v="SA-HEC-003-2024"/>
        <s v="SA-HEC-001-2025"/>
        <s v="SA-HEC-002-2025"/>
        <s v="SA-HEC-003-2025"/>
        <s v="SA-HEC-004-2025"/>
        <s v="SA-HEC-005-2025"/>
        <s v="SA-HEC-006-2025"/>
        <s v="PN-084-2024" u="1"/>
        <s v="PN-085-2024" u="1"/>
        <s v="PN-086-2024" u="1"/>
        <s v="PN-087-2024" u="1"/>
        <s v="PN-088-2024" u="1"/>
        <s v="PN-089-2024" u="1"/>
        <s v="PN-001-2025" u="1"/>
        <s v="PN-002-2025" u="1"/>
        <s v="PN-003-2025" u="1"/>
        <s v="PN-088" u="1"/>
        <s v="SA-090-2024" u="1"/>
        <s v="PN-089" u="1"/>
        <s v="SA-001-2025" u="1"/>
        <s v="SA-002-2025" u="1"/>
        <s v="SA-003-2025" u="1"/>
      </sharedItems>
    </cacheField>
    <cacheField name="BL NO" numFmtId="0">
      <sharedItems containsBlank="1" count="23">
        <s v="COSU6402174430"/>
        <m/>
        <s v="COSU6397157600 "/>
        <s v="COSU6406201170 "/>
        <s v="COSU6407737370"/>
        <s v="COSU6398577910"/>
        <s v="COSU6406774960"/>
        <s v="COSU6409108040"/>
        <s v="COSU6406776310"/>
        <s v="COSU6409144070"/>
        <s v="COSU6399597820" u="1"/>
        <s v="COSU6402964780" u="1"/>
        <s v="COSU6403376820" u="1"/>
        <s v="COSU6403376880" u="1"/>
        <s v="COSU6404671110" u="1"/>
        <s v="COSU6405035030" u="1"/>
        <s v="COSU6405850240" u="1"/>
        <s v="COSU6407371490" u="1"/>
        <s v="COSU6407371580" u="1"/>
        <s v="COSU6405461740" u="1"/>
        <s v="COSU6405844890" u="1"/>
        <s v="COSU6406202580" u="1"/>
        <s v="COSU6406202640" u="1"/>
      </sharedItems>
    </cacheField>
    <cacheField name="BL DATE" numFmtId="0">
      <sharedItems containsDate="1" containsBlank="1" containsMixedTypes="1" minDate="2024-12-18T00:00:00" maxDate="2025-02-06T00:00:00"/>
    </cacheField>
    <cacheField name="ETA" numFmtId="0">
      <sharedItems containsDate="1" containsBlank="1" containsMixedTypes="1" minDate="2025-02-20T00:00:00" maxDate="2025-03-30T00:00:00"/>
    </cacheField>
    <cacheField name="POD" numFmtId="0">
      <sharedItems containsBlank="1"/>
    </cacheField>
    <cacheField name="PRODUCT" numFmtId="0">
      <sharedItems containsBlank="1"/>
    </cacheField>
    <cacheField name="CONTAINERS" numFmtId="0">
      <sharedItems containsBlank="1"/>
    </cacheField>
    <cacheField name="GROSS LENGTH" numFmtId="0">
      <sharedItems containsString="0" containsBlank="1" containsNumber="1" minValue="2.17" maxValue="8.48"/>
    </cacheField>
    <cacheField name="GROSS GIRTH" numFmtId="0">
      <sharedItems containsString="0" containsBlank="1" containsNumber="1" minValue="59.22" maxValue="86.9"/>
    </cacheField>
    <cacheField name="GROSS VOL" numFmtId="0">
      <sharedItems containsString="0" containsBlank="1" containsNumber="1" minValue="3.2930000000000006" maxValue="22.25"/>
    </cacheField>
    <cacheField name="PCS" numFmtId="0">
      <sharedItems containsString="0" containsBlank="1" containsNumber="1" containsInteger="1" minValue="30" maxValue="445"/>
    </cacheField>
    <cacheField name="P G ALLOWANCE" numFmtId="0">
      <sharedItems containsString="0" containsBlank="1" containsNumber="1" containsInteger="1" minValue="3" maxValue="3"/>
    </cacheField>
    <cacheField name="P L ALLOWANCE" numFmtId="0">
      <sharedItems containsString="0" containsBlank="1" containsNumber="1" containsInteger="1" minValue="5" maxValue="5"/>
    </cacheField>
    <cacheField name="Purchase Volume" numFmtId="167">
      <sharedItems containsString="0" containsBlank="1" containsNumber="1" minValue="2.9290000000000003" maxValue="20.22"/>
    </cacheField>
    <cacheField name="PURCHASE CFT" numFmtId="0">
      <sharedItems containsString="0" containsBlank="1" containsNumber="1" minValue="1.76" maxValue="13.98"/>
    </cacheField>
    <cacheField name="P Base Price" numFmtId="0">
      <sharedItems containsString="0" containsBlank="1" containsNumber="1" containsInteger="1" minValue="245" maxValue="300"/>
    </cacheField>
    <cacheField name="Purchase Price" numFmtId="0">
      <sharedItems containsString="0" containsBlank="1" containsNumber="1" minValue="229.10590820367591" maxValue="444.10590820367594"/>
    </cacheField>
    <cacheField name="Purchase Value" numFmtId="3">
      <sharedItems containsString="0" containsBlank="1" containsNumber="1" minValue="0" maxValue="8147.1228859964349"/>
    </cacheField>
    <cacheField name="Sales G ALLOWANE" numFmtId="0">
      <sharedItems containsString="0" containsBlank="1" containsNumber="1" containsInteger="1" minValue="3" maxValue="3"/>
    </cacheField>
    <cacheField name="Sales L ALLOWANCE" numFmtId="0">
      <sharedItems containsString="0" containsBlank="1" containsNumber="1" containsInteger="1" minValue="5" maxValue="5"/>
    </cacheField>
    <cacheField name="SALES VOL" numFmtId="0">
      <sharedItems containsString="0" containsBlank="1" containsNumber="1" minValue="2.9290000000000003" maxValue="20.22"/>
    </cacheField>
    <cacheField name="BASE PRICE" numFmtId="0">
      <sharedItems containsString="0" containsBlank="1" containsNumber="1" containsInteger="1" minValue="280" maxValue="330"/>
    </cacheField>
    <cacheField name="Diff" numFmtId="0">
      <sharedItems containsString="0" containsBlank="1" containsNumber="1" containsInteger="1" minValue="0" maxValue="35"/>
    </cacheField>
    <cacheField name="SALES PRICE" numFmtId="0">
      <sharedItems containsString="0" containsBlank="1" containsNumber="1" containsInteger="1" minValue="265" maxValue="480"/>
    </cacheField>
    <cacheField name="SALES VALUE" numFmtId="0">
      <sharedItems containsString="0" containsBlank="1" containsNumber="1" minValue="0" maxValue="8805.5999999999985"/>
    </cacheField>
    <cacheField name="SERV FEES" numFmtId="0">
      <sharedItems containsString="0" containsBlank="1" containsNumber="1" minValue="0" maxValue="880.56"/>
    </cacheField>
    <cacheField name="INV. PRICE" numFmtId="0">
      <sharedItems containsString="0" containsBlank="1" containsNumber="1" minValue="276.46248856358642" maxValue="323.04682616691673"/>
    </cacheField>
    <cacheField name="Inv Value" numFmtId="0">
      <sharedItems containsString="0" containsBlank="1" containsNumber="1" minValue="0" maxValue="6249.64674053941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n v="2024"/>
    <x v="0"/>
    <x v="0"/>
    <x v="0"/>
    <d v="2024-12-18T00:00:00"/>
    <d v="2025-02-20T00:00:00"/>
    <s v="CHENNAI"/>
    <s v="LONGS"/>
    <s v="FSCU8732136"/>
    <n v="7"/>
    <n v="75.349999999999994"/>
    <n v="18.98"/>
    <n v="76"/>
    <n v="3"/>
    <n v="5"/>
    <n v="17.38"/>
    <n v="8.8202057894736843"/>
    <n v="300"/>
    <n v="390"/>
    <n v="6778.2"/>
    <n v="3"/>
    <n v="5"/>
    <n v="17.38"/>
    <n v="330"/>
    <n v="30"/>
    <n v="420"/>
    <n v="7299.5999999999995"/>
    <n v="729.96"/>
    <n v="318.21011917206772"/>
    <n v="5530.4918712105364"/>
  </r>
  <r>
    <x v="0"/>
    <n v="2024"/>
    <x v="0"/>
    <x v="0"/>
    <x v="0"/>
    <d v="2024-12-18T00:00:00"/>
    <d v="2025-02-20T00:00:00"/>
    <s v="CHENNAI"/>
    <s v="SHORTS"/>
    <s v="CBHU9172260"/>
    <n v="2.25"/>
    <n v="63.58"/>
    <n v="21.99"/>
    <n v="386"/>
    <n v="3"/>
    <n v="5"/>
    <n v="19.52"/>
    <n v="2.0120280310880827"/>
    <n v="245"/>
    <n v="245"/>
    <n v="4782.3999999999996"/>
    <n v="3"/>
    <n v="5"/>
    <n v="19.52"/>
    <n v="280"/>
    <n v="35"/>
    <n v="280"/>
    <n v="5465.5999999999995"/>
    <n v="546.55999999999995"/>
    <n v="318.21011917206772"/>
    <n v="6211.4615262387615"/>
  </r>
  <r>
    <x v="0"/>
    <n v="2024"/>
    <x v="0"/>
    <x v="0"/>
    <x v="0"/>
    <d v="2024-12-18T00:00:00"/>
    <d v="2025-02-20T00:00:00"/>
    <s v="CHENNAI"/>
    <s v="SHORTS"/>
    <s v="DFSU7040919"/>
    <n v="2.25"/>
    <n v="77.239999999999995"/>
    <n v="21.64"/>
    <n v="256"/>
    <n v="3"/>
    <n v="5"/>
    <n v="19.559999999999999"/>
    <n v="2.9854746875"/>
    <n v="245"/>
    <n v="290"/>
    <n v="5672.4"/>
    <n v="3"/>
    <n v="5"/>
    <n v="19.559999999999999"/>
    <n v="280"/>
    <n v="35"/>
    <n v="325"/>
    <n v="6357"/>
    <n v="635.70000000000005"/>
    <n v="318.21011917206772"/>
    <n v="6224.1899310056442"/>
  </r>
  <r>
    <x v="0"/>
    <n v="2024"/>
    <x v="0"/>
    <x v="0"/>
    <x v="0"/>
    <d v="2024-12-18T00:00:00"/>
    <d v="2025-02-20T00:00:00"/>
    <s v="CHENNAI"/>
    <s v="SEMI LONGS"/>
    <s v="TCLU1893014"/>
    <n v="5.8"/>
    <n v="71.5"/>
    <n v="21.48"/>
    <n v="115"/>
    <n v="3"/>
    <n v="5"/>
    <n v="19.559999999999999"/>
    <n v="6.5967881739130441"/>
    <n v="285"/>
    <n v="345"/>
    <n v="6748.2"/>
    <n v="3"/>
    <n v="5"/>
    <n v="19.559999999999999"/>
    <n v="315"/>
    <n v="30"/>
    <n v="375"/>
    <n v="7334.9999999999991"/>
    <n v="733.5"/>
    <n v="318.21011917206772"/>
    <n v="6224.1899310056442"/>
  </r>
  <r>
    <x v="0"/>
    <n v="2024"/>
    <x v="0"/>
    <x v="0"/>
    <x v="0"/>
    <d v="2024-12-18T00:00:00"/>
    <d v="2025-02-20T00:00:00"/>
    <s v="CHENNAI"/>
    <s v="SEMI LONGS"/>
    <s v="FCIU9565522"/>
    <n v="5.8"/>
    <n v="72"/>
    <n v="21.54"/>
    <n v="113"/>
    <n v="3"/>
    <n v="5"/>
    <n v="19.64"/>
    <n v="6.7322984070796457"/>
    <n v="285"/>
    <n v="345"/>
    <n v="6775.8"/>
    <n v="3"/>
    <n v="5"/>
    <n v="19.64"/>
    <n v="315"/>
    <n v="30"/>
    <n v="375"/>
    <n v="7365"/>
    <n v="736.5"/>
    <n v="318.21011917206772"/>
    <n v="6249.6467405394105"/>
  </r>
  <r>
    <x v="1"/>
    <m/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</r>
  <r>
    <x v="0"/>
    <n v="2024"/>
    <x v="2"/>
    <x v="2"/>
    <x v="2"/>
    <d v="2025-01-08T00:00:00"/>
    <d v="2025-03-02T00:00:00"/>
    <s v="CHENNAI"/>
    <s v="SHORTS"/>
    <s v="FCIU9574777"/>
    <n v="2.25"/>
    <n v="67.16"/>
    <n v="22.24"/>
    <n v="349"/>
    <n v="3"/>
    <n v="5"/>
    <n v="19.850000000000001"/>
    <n v="2.25"/>
    <n v="245"/>
    <n v="260"/>
    <n v="5161"/>
    <n v="3"/>
    <n v="5"/>
    <n v="19.850000000000001"/>
    <n v="280"/>
    <n v="35"/>
    <n v="295"/>
    <n v="5855.75"/>
    <n v="585.57500000000005"/>
    <n v="296.07335025380712"/>
    <n v="5877.0560025380719"/>
  </r>
  <r>
    <x v="0"/>
    <n v="2024"/>
    <x v="2"/>
    <x v="2"/>
    <x v="2"/>
    <d v="2025-01-08T00:00:00"/>
    <d v="2025-03-02T00:00:00"/>
    <s v="CHENNAI"/>
    <s v="SHORTS"/>
    <s v="CSNU6840678"/>
    <n v="2.25"/>
    <n v="75.16"/>
    <n v="21.76"/>
    <n v="273"/>
    <n v="3"/>
    <n v="5"/>
    <n v="19.61"/>
    <n v="2.81"/>
    <n v="245"/>
    <n v="290"/>
    <n v="5686.9"/>
    <n v="3"/>
    <n v="5"/>
    <n v="19.61"/>
    <n v="280"/>
    <n v="35"/>
    <n v="325"/>
    <n v="6373.25"/>
    <n v="637.32500000000005"/>
    <n v="296.07335025380712"/>
    <n v="5805.998398477157"/>
  </r>
  <r>
    <x v="0"/>
    <n v="2024"/>
    <x v="2"/>
    <x v="2"/>
    <x v="2"/>
    <d v="2025-01-08T00:00:00"/>
    <d v="2025-03-02T00:00:00"/>
    <s v="CHENNAI"/>
    <s v="SHORTS"/>
    <s v="CCLU7912291"/>
    <n v="2.25"/>
    <n v="84.28"/>
    <n v="21.97"/>
    <n v="218"/>
    <n v="3"/>
    <n v="5"/>
    <n v="19.989999999999998"/>
    <n v="3.56"/>
    <n v="245"/>
    <n v="335"/>
    <n v="6696.65"/>
    <n v="3"/>
    <n v="5"/>
    <n v="19.989999999999998"/>
    <n v="280"/>
    <n v="35"/>
    <n v="370"/>
    <n v="7396.2999999999993"/>
    <n v="739.63"/>
    <n v="296.07335025380712"/>
    <n v="5918.506271573604"/>
  </r>
  <r>
    <x v="0"/>
    <n v="2024"/>
    <x v="2"/>
    <x v="2"/>
    <x v="2"/>
    <d v="2025-01-08T00:00:00"/>
    <d v="2025-03-02T00:00:00"/>
    <s v="CHENNAI"/>
    <s v="SEMI LONGS"/>
    <s v="CBHU8819795"/>
    <n v="5.8"/>
    <n v="73.52"/>
    <n v="14.61"/>
    <n v="74"/>
    <n v="3"/>
    <n v="5"/>
    <n v="13.34"/>
    <n v="6.97"/>
    <n v="285"/>
    <n v="345"/>
    <n v="4602.3"/>
    <n v="3"/>
    <n v="5"/>
    <n v="13.34"/>
    <n v="315"/>
    <n v="30"/>
    <n v="375"/>
    <n v="5002.5"/>
    <n v="500.25"/>
    <n v="296.07335025380712"/>
    <n v="3949.6184923857868"/>
  </r>
  <r>
    <x v="0"/>
    <n v="2024"/>
    <x v="2"/>
    <x v="2"/>
    <x v="2"/>
    <d v="2025-01-08T00:00:00"/>
    <d v="2025-03-02T00:00:00"/>
    <s v="CHENNAI"/>
    <s v="LONGS"/>
    <m/>
    <n v="7"/>
    <n v="72.900000000000006"/>
    <n v="7.05"/>
    <n v="30"/>
    <n v="3"/>
    <n v="5"/>
    <n v="6.44"/>
    <n v="8.3000000000000007"/>
    <n v="300"/>
    <n v="360"/>
    <n v="2318.4"/>
    <n v="3"/>
    <n v="5"/>
    <n v="6.44"/>
    <n v="330"/>
    <n v="30"/>
    <n v="390"/>
    <n v="2511.6000000000004"/>
    <n v="251.16000000000005"/>
    <n v="296.07335025380712"/>
    <n v="1906.7123756345179"/>
  </r>
  <r>
    <x v="0"/>
    <n v="2024"/>
    <x v="2"/>
    <x v="2"/>
    <x v="2"/>
    <d v="2025-01-08T00:00:00"/>
    <d v="2025-03-02T00:00:00"/>
    <s v="CHENNAI"/>
    <s v="LONGS"/>
    <m/>
    <n v="7"/>
    <n v="75.28"/>
    <n v="8.76"/>
    <n v="35"/>
    <n v="3"/>
    <n v="5"/>
    <n v="8.02"/>
    <n v="8.84"/>
    <n v="300"/>
    <n v="390"/>
    <n v="3127.7999999999997"/>
    <n v="3"/>
    <n v="5"/>
    <n v="8.02"/>
    <n v="330"/>
    <n v="30"/>
    <n v="420"/>
    <n v="3368.3999999999996"/>
    <n v="336.84"/>
    <n v="296.07335025380712"/>
    <n v="2374.508269035533"/>
  </r>
  <r>
    <x v="0"/>
    <n v="2024"/>
    <x v="2"/>
    <x v="2"/>
    <x v="2"/>
    <d v="2025-01-08T00:00:00"/>
    <d v="2025-03-02T00:00:00"/>
    <s v="CHENNAI"/>
    <s v="SHORTS"/>
    <s v="OOCU7641265"/>
    <n v="2.25"/>
    <n v="66.53"/>
    <n v="13.06"/>
    <n v="209"/>
    <n v="3"/>
    <n v="5"/>
    <n v="11.65"/>
    <n v="2.21"/>
    <n v="245"/>
    <n v="245"/>
    <n v="2854.25"/>
    <n v="3"/>
    <n v="5"/>
    <n v="11.65"/>
    <n v="280"/>
    <n v="35"/>
    <n v="280"/>
    <n v="3262"/>
    <n v="326.20000000000005"/>
    <n v="296.07335025380712"/>
    <n v="3449.254530456853"/>
  </r>
  <r>
    <x v="1"/>
    <m/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</r>
  <r>
    <x v="0"/>
    <n v="2024"/>
    <x v="2"/>
    <x v="3"/>
    <x v="3"/>
    <d v="2025-01-15T00:00:00"/>
    <d v="2025-03-07T00:00:00"/>
    <s v="CHENNAI"/>
    <s v="SHORTS"/>
    <s v="FCIU9624857"/>
    <n v="2.21"/>
    <n v="65"/>
    <n v="20.09"/>
    <n v="327"/>
    <n v="3"/>
    <n v="5"/>
    <n v="17.91"/>
    <n v="2.17"/>
    <n v="245"/>
    <n v="280"/>
    <n v="5014.8"/>
    <n v="3"/>
    <n v="5"/>
    <n v="17.91"/>
    <n v="280"/>
    <n v="35"/>
    <n v="280"/>
    <n v="5014.8"/>
    <n v="501.48"/>
    <n v="285.84640234292033"/>
    <n v="5119.5090659617035"/>
  </r>
  <r>
    <x v="0"/>
    <n v="2024"/>
    <x v="2"/>
    <x v="3"/>
    <x v="3"/>
    <d v="2025-01-15T00:00:00"/>
    <d v="2025-03-07T00:00:00"/>
    <s v="CHENNAI"/>
    <s v="SHORTS"/>
    <s v="TEMU6053723"/>
    <n v="2.1800000000000002"/>
    <n v="62"/>
    <n v="20.27"/>
    <n v="365"/>
    <n v="3"/>
    <n v="5"/>
    <n v="17.97"/>
    <n v="1.96"/>
    <n v="245"/>
    <n v="265"/>
    <n v="4762.0499999999993"/>
    <n v="3"/>
    <n v="5"/>
    <n v="17.97"/>
    <n v="280"/>
    <n v="35"/>
    <n v="265"/>
    <n v="4762.0499999999993"/>
    <n v="476.20499999999993"/>
    <n v="285.84640234292033"/>
    <n v="5136.6598501022781"/>
  </r>
  <r>
    <x v="0"/>
    <n v="2024"/>
    <x v="2"/>
    <x v="3"/>
    <x v="3"/>
    <d v="2025-01-15T00:00:00"/>
    <d v="2025-03-07T00:00:00"/>
    <s v="CHENNAI"/>
    <s v="SHORTS"/>
    <s v="FCIU7004477"/>
    <n v="2.17"/>
    <n v="68"/>
    <n v="19.600000000000001"/>
    <n v="297"/>
    <n v="3"/>
    <n v="5"/>
    <n v="17.54"/>
    <n v="2.33"/>
    <n v="245"/>
    <n v="295"/>
    <n v="5174.3"/>
    <n v="3"/>
    <n v="5"/>
    <n v="17.54"/>
    <n v="280"/>
    <n v="35"/>
    <n v="295"/>
    <n v="5174.3"/>
    <n v="517.43000000000006"/>
    <n v="285.84640234292033"/>
    <n v="5013.7458970948219"/>
  </r>
  <r>
    <x v="0"/>
    <n v="2024"/>
    <x v="2"/>
    <x v="3"/>
    <x v="3"/>
    <d v="2025-01-15T00:00:00"/>
    <d v="2025-03-07T00:00:00"/>
    <s v="CHENNAI"/>
    <s v="SEMI LONGS"/>
    <s v="TIIU5574984"/>
    <n v="4.9400000000000004"/>
    <n v="73"/>
    <n v="19.84"/>
    <n v="116"/>
    <n v="3"/>
    <n v="5"/>
    <n v="18.100000000000001"/>
    <n v="6.04"/>
    <n v="285"/>
    <n v="375"/>
    <n v="6787.5000000000009"/>
    <n v="3"/>
    <n v="5"/>
    <n v="18.100000000000001"/>
    <n v="315"/>
    <n v="30"/>
    <n v="375"/>
    <n v="6787.5000000000009"/>
    <n v="678.75000000000011"/>
    <n v="285.84640234292033"/>
    <n v="5173.8198824068586"/>
  </r>
  <r>
    <x v="0"/>
    <n v="2024"/>
    <x v="2"/>
    <x v="3"/>
    <x v="3"/>
    <d v="2025-01-15T00:00:00"/>
    <d v="2025-03-07T00:00:00"/>
    <s v="CHENNAI"/>
    <s v="SHORTS"/>
    <s v="TEMU6548867"/>
    <n v="2.23"/>
    <n v="63"/>
    <n v="3.2930000000000006"/>
    <n v="56"/>
    <n v="3"/>
    <n v="5"/>
    <n v="2.9290000000000003"/>
    <n v="2.08"/>
    <n v="245"/>
    <n v="280"/>
    <n v="820.12000000000012"/>
    <n v="3"/>
    <n v="5"/>
    <n v="2.9290000000000003"/>
    <n v="280"/>
    <n v="35"/>
    <n v="280"/>
    <n v="820.12000000000012"/>
    <n v="82.012000000000015"/>
    <n v="285.84640234292033"/>
    <n v="837.24411246241368"/>
  </r>
  <r>
    <x v="0"/>
    <n v="2024"/>
    <x v="2"/>
    <x v="3"/>
    <x v="3"/>
    <d v="2025-01-15T00:00:00"/>
    <d v="2025-03-07T00:00:00"/>
    <s v="CHENNAI"/>
    <s v="LONGS"/>
    <m/>
    <n v="7.33"/>
    <n v="74"/>
    <n v="16.380000000000003"/>
    <n v="63"/>
    <n v="3"/>
    <n v="5"/>
    <n v="15.011999999999999"/>
    <n v="9.18"/>
    <n v="300"/>
    <n v="390"/>
    <n v="5854.6799999999994"/>
    <n v="3"/>
    <n v="5"/>
    <n v="15.011999999999999"/>
    <n v="330"/>
    <n v="30"/>
    <n v="390"/>
    <n v="5854.6799999999994"/>
    <n v="585.46799999999996"/>
    <n v="285.84640234292033"/>
    <n v="4291.12619197192"/>
  </r>
  <r>
    <x v="1"/>
    <m/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</r>
  <r>
    <x v="0"/>
    <n v="2025"/>
    <x v="3"/>
    <x v="4"/>
    <x v="4"/>
    <d v="2025-01-15T00:00:00"/>
    <d v="2025-03-07T00:00:00"/>
    <s v="CHENNAI"/>
    <s v="LONGS"/>
    <s v="CCLU7363231"/>
    <n v="8.34"/>
    <n v="80"/>
    <n v="19.675999999999998"/>
    <n v="57"/>
    <n v="3"/>
    <n v="5"/>
    <n v="18.149999999999999"/>
    <n v="12.19"/>
    <n v="300"/>
    <n v="405"/>
    <n v="7350.7499999999991"/>
    <n v="3"/>
    <n v="5"/>
    <n v="18.149999999999999"/>
    <n v="330"/>
    <n v="30"/>
    <n v="450"/>
    <n v="8167.4999999999991"/>
    <n v="816.75"/>
    <n v="319.19359145527363"/>
    <n v="5793.3636849132163"/>
  </r>
  <r>
    <x v="0"/>
    <n v="2025"/>
    <x v="3"/>
    <x v="4"/>
    <x v="4"/>
    <d v="2025-01-15T00:00:00"/>
    <d v="2025-03-07T00:00:00"/>
    <s v="CHENNAI"/>
    <s v="SHORTS"/>
    <s v="FCIU9669131"/>
    <n v="2.25"/>
    <n v="61.29"/>
    <n v="21.79"/>
    <n v="406"/>
    <n v="3"/>
    <n v="5"/>
    <n v="19.3"/>
    <n v="1.9"/>
    <n v="245"/>
    <n v="230"/>
    <n v="4439"/>
    <n v="3"/>
    <n v="5"/>
    <n v="19.3"/>
    <n v="280"/>
    <n v="35"/>
    <n v="265"/>
    <n v="5114.5"/>
    <n v="511.45000000000005"/>
    <n v="319.19359145527363"/>
    <n v="6160.4363150867812"/>
  </r>
  <r>
    <x v="1"/>
    <m/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</r>
  <r>
    <x v="0"/>
    <n v="2025"/>
    <x v="4"/>
    <x v="5"/>
    <x v="5"/>
    <d v="2025-02-05T00:00:00"/>
    <d v="2025-03-29T00:00:00"/>
    <s v="CHENNAI"/>
    <s v="SHORTS"/>
    <s v="CAIU4510750"/>
    <n v="2.25"/>
    <n v="61.34"/>
    <n v="22.09"/>
    <n v="415"/>
    <n v="3"/>
    <n v="5"/>
    <n v="19.55"/>
    <n v="1.88"/>
    <n v="245"/>
    <n v="230"/>
    <n v="4496.5"/>
    <n v="3"/>
    <n v="5"/>
    <n v="19.55"/>
    <n v="280"/>
    <n v="35"/>
    <n v="265"/>
    <n v="5180.75"/>
    <n v="518.07500000000005"/>
    <n v="276.46248856358642"/>
    <n v="5404.8416514181145"/>
  </r>
  <r>
    <x v="0"/>
    <n v="2025"/>
    <x v="4"/>
    <x v="5"/>
    <x v="5"/>
    <d v="2025-02-05T00:00:00"/>
    <d v="2025-03-29T00:00:00"/>
    <s v="CHENNAI"/>
    <s v="SHORTS"/>
    <s v="CSLU6008640"/>
    <n v="2.25"/>
    <n v="59.22"/>
    <n v="22.13"/>
    <n v="445"/>
    <n v="3"/>
    <n v="5"/>
    <n v="19.52"/>
    <n v="1.76"/>
    <n v="245"/>
    <n v="230"/>
    <n v="4489.5999999999995"/>
    <n v="3"/>
    <n v="5"/>
    <n v="19.52"/>
    <n v="280"/>
    <n v="35"/>
    <n v="265"/>
    <n v="5172.8"/>
    <n v="517.28000000000009"/>
    <n v="276.46248856358642"/>
    <n v="5396.5477767612065"/>
  </r>
  <r>
    <x v="0"/>
    <n v="2025"/>
    <x v="4"/>
    <x v="5"/>
    <x v="5"/>
    <d v="2025-02-05T00:00:00"/>
    <d v="2025-03-29T00:00:00"/>
    <s v="CHENNAI"/>
    <s v="SHORTS"/>
    <s v="DFSU6786190"/>
    <n v="2.25"/>
    <n v="67.819999999999993"/>
    <n v="22.21"/>
    <n v="341"/>
    <n v="3"/>
    <n v="5"/>
    <n v="19.850000000000001"/>
    <n v="2.2999999999999998"/>
    <n v="245"/>
    <n v="260"/>
    <n v="5161"/>
    <n v="3"/>
    <n v="5"/>
    <n v="19.850000000000001"/>
    <n v="280"/>
    <n v="35"/>
    <n v="295"/>
    <n v="5855.75"/>
    <n v="585.57500000000005"/>
    <n v="276.46248856358642"/>
    <n v="5487.7803979871906"/>
  </r>
  <r>
    <x v="0"/>
    <n v="2025"/>
    <x v="4"/>
    <x v="5"/>
    <x v="5"/>
    <d v="2025-02-05T00:00:00"/>
    <d v="2025-03-29T00:00:00"/>
    <s v="CHENNAI"/>
    <s v="SHORTS"/>
    <s v="CSLU6295154"/>
    <n v="2.25"/>
    <n v="74.25"/>
    <n v="21.85"/>
    <n v="281"/>
    <n v="3"/>
    <n v="5"/>
    <n v="19.670000000000002"/>
    <n v="2.75"/>
    <n v="245"/>
    <n v="290"/>
    <n v="5704.3"/>
    <n v="3"/>
    <n v="5"/>
    <n v="19.670000000000002"/>
    <n v="280"/>
    <n v="35"/>
    <n v="325"/>
    <n v="6392.7500000000009"/>
    <n v="639.27500000000009"/>
    <n v="276.46248856358642"/>
    <n v="5438.0171500457454"/>
  </r>
  <r>
    <x v="0"/>
    <n v="2025"/>
    <x v="4"/>
    <x v="5"/>
    <x v="5"/>
    <d v="2025-02-05T00:00:00"/>
    <d v="2025-03-29T00:00:00"/>
    <s v="CHENNAI"/>
    <s v="SHORTS"/>
    <s v="CSLU6199443"/>
    <n v="2.25"/>
    <n v="86.9"/>
    <n v="21.69"/>
    <n v="202"/>
    <n v="3"/>
    <n v="5"/>
    <n v="19.78"/>
    <n v="3.79"/>
    <n v="245"/>
    <n v="350"/>
    <n v="6923"/>
    <n v="3"/>
    <n v="5"/>
    <n v="19.78"/>
    <n v="280"/>
    <n v="35"/>
    <n v="385"/>
    <n v="7615.3"/>
    <n v="761.53000000000009"/>
    <n v="276.46248856358642"/>
    <n v="5468.4280237877401"/>
  </r>
  <r>
    <x v="1"/>
    <m/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</r>
  <r>
    <x v="0"/>
    <n v="2025"/>
    <x v="5"/>
    <x v="6"/>
    <x v="6"/>
    <d v="2025-02-05T00:00:00"/>
    <d v="2025-03-29T00:00:00"/>
    <s v="CHENNAI"/>
    <s v="SEMI LONGS"/>
    <s v="OOCU6543650"/>
    <n v="5.8"/>
    <n v="70.040000000000006"/>
    <n v="22.25"/>
    <n v="124"/>
    <n v="3"/>
    <n v="5"/>
    <n v="20.22"/>
    <n v="6.34"/>
    <n v="285"/>
    <n v="345"/>
    <n v="6975.9"/>
    <n v="3"/>
    <n v="5"/>
    <n v="20.22"/>
    <n v="315"/>
    <n v="30"/>
    <n v="375"/>
    <n v="7582.5"/>
    <n v="758.25"/>
    <n v="289.60909551130618"/>
    <n v="5855.895911238611"/>
  </r>
  <r>
    <x v="0"/>
    <n v="2025"/>
    <x v="5"/>
    <x v="6"/>
    <x v="6"/>
    <d v="2025-02-05T00:00:00"/>
    <d v="2025-03-29T00:00:00"/>
    <s v="CHENNAI"/>
    <s v="SHORTS"/>
    <s v="OOCU8744720"/>
    <n v="2.25"/>
    <n v="85.61"/>
    <n v="11.75"/>
    <n v="113"/>
    <n v="3"/>
    <n v="5"/>
    <n v="10.7"/>
    <n v="3.67"/>
    <n v="245"/>
    <n v="335"/>
    <n v="3584.4999999999995"/>
    <n v="3"/>
    <n v="5"/>
    <n v="10.7"/>
    <n v="280"/>
    <n v="35"/>
    <n v="370"/>
    <n v="3958.9999999999995"/>
    <n v="395.9"/>
    <n v="289.60909551130618"/>
    <n v="3098.8173219709761"/>
  </r>
  <r>
    <x v="0"/>
    <n v="2025"/>
    <x v="5"/>
    <x v="6"/>
    <x v="6"/>
    <d v="2025-02-05T00:00:00"/>
    <d v="2025-03-29T00:00:00"/>
    <s v="CHENNAI"/>
    <s v="SEMI LONGS"/>
    <m/>
    <n v="5.8"/>
    <n v="68.83"/>
    <n v="9.7200000000000006"/>
    <n v="56"/>
    <n v="3"/>
    <n v="5"/>
    <n v="8.82"/>
    <n v="6.13"/>
    <n v="285"/>
    <n v="315"/>
    <n v="2778.3"/>
    <n v="3"/>
    <n v="5"/>
    <n v="8.82"/>
    <n v="315"/>
    <n v="30"/>
    <n v="345"/>
    <n v="3042.9"/>
    <n v="304.29000000000002"/>
    <n v="289.60909551130618"/>
    <n v="2554.3522224097205"/>
  </r>
  <r>
    <x v="0"/>
    <n v="2025"/>
    <x v="5"/>
    <x v="6"/>
    <x v="6"/>
    <d v="2025-02-05T00:00:00"/>
    <d v="2025-03-29T00:00:00"/>
    <s v="CHENNAI"/>
    <s v="SHORTS"/>
    <s v="OOCU8511688"/>
    <n v="2.25"/>
    <n v="63.27"/>
    <n v="22.11"/>
    <n v="389"/>
    <n v="3"/>
    <n v="5"/>
    <n v="19.64"/>
    <n v="2.0099999999999998"/>
    <n v="245"/>
    <n v="245"/>
    <n v="4811.8"/>
    <n v="3"/>
    <n v="5"/>
    <n v="19.64"/>
    <n v="280"/>
    <n v="35"/>
    <n v="280"/>
    <n v="5499.2"/>
    <n v="549.91999999999996"/>
    <n v="289.60909551130618"/>
    <n v="5687.9226358420538"/>
  </r>
  <r>
    <x v="0"/>
    <n v="2025"/>
    <x v="5"/>
    <x v="6"/>
    <x v="6"/>
    <d v="2025-02-05T00:00:00"/>
    <d v="2025-03-29T00:00:00"/>
    <s v="CHENNAI"/>
    <s v="SHORTS"/>
    <s v="FFAU3171817"/>
    <n v="2.25"/>
    <n v="82.23"/>
    <n v="21.96"/>
    <n v="229"/>
    <n v="3"/>
    <n v="5"/>
    <n v="19.940000000000001"/>
    <n v="3.39"/>
    <n v="245"/>
    <n v="320"/>
    <n v="6380.8"/>
    <n v="3"/>
    <n v="5"/>
    <n v="19.940000000000001"/>
    <n v="280"/>
    <n v="35"/>
    <n v="355"/>
    <n v="7078.7000000000007"/>
    <n v="707.87000000000012"/>
    <n v="289.60909551130618"/>
    <n v="5774.8053644954452"/>
  </r>
  <r>
    <x v="0"/>
    <n v="2025"/>
    <x v="5"/>
    <x v="6"/>
    <x v="6"/>
    <d v="2025-02-05T00:00:00"/>
    <d v="2025-03-29T00:00:00"/>
    <s v="CHENNAI"/>
    <s v="SHORTS"/>
    <s v="OOCU7249505"/>
    <n v="2.25"/>
    <n v="63.56"/>
    <n v="22.01"/>
    <n v="384"/>
    <n v="3"/>
    <n v="5"/>
    <n v="19.55"/>
    <n v="2.02"/>
    <n v="245"/>
    <n v="245"/>
    <n v="4789.75"/>
    <n v="3"/>
    <n v="5"/>
    <n v="19.55"/>
    <n v="280"/>
    <n v="35"/>
    <n v="280"/>
    <n v="5474"/>
    <n v="547.4"/>
    <n v="289.60909551130618"/>
    <n v="5661.8578172460357"/>
  </r>
  <r>
    <x v="0"/>
    <n v="2025"/>
    <x v="5"/>
    <x v="6"/>
    <x v="6"/>
    <d v="2025-02-05T00:00:00"/>
    <d v="2025-03-29T00:00:00"/>
    <s v="CHENNAI"/>
    <s v="SHORTS"/>
    <s v="BEAU5566451"/>
    <n v="2.25"/>
    <n v="63.02"/>
    <n v="22.12"/>
    <n v="389"/>
    <n v="3"/>
    <n v="5"/>
    <n v="19.649999999999999"/>
    <n v="2.0099999999999998"/>
    <n v="245"/>
    <n v="245"/>
    <n v="4814.25"/>
    <n v="3"/>
    <n v="5"/>
    <n v="19.649999999999999"/>
    <n v="280"/>
    <n v="35"/>
    <n v="280"/>
    <n v="5502"/>
    <n v="550.20000000000005"/>
    <n v="289.60909551130618"/>
    <n v="5690.8187267971662"/>
  </r>
  <r>
    <x v="1"/>
    <m/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</r>
  <r>
    <x v="0"/>
    <n v="2025"/>
    <x v="6"/>
    <x v="7"/>
    <x v="7"/>
    <d v="2025-02-05T00:00:00"/>
    <d v="2025-03-29T00:00:00"/>
    <s v="CHENNAI"/>
    <s v="LONGS"/>
    <s v="CSNU6661902"/>
    <n v="7"/>
    <n v="70.11"/>
    <n v="16.5"/>
    <n v="76"/>
    <n v="3"/>
    <n v="5"/>
    <n v="15.02"/>
    <n v="7.67"/>
    <n v="300"/>
    <n v="360"/>
    <n v="5407.2"/>
    <n v="3"/>
    <n v="5"/>
    <n v="15.02"/>
    <n v="330"/>
    <n v="30"/>
    <n v="390"/>
    <n v="5857.8"/>
    <n v="585.78000000000009"/>
    <n v="294.12184831232207"/>
    <n v="4417.7101616510772"/>
  </r>
  <r>
    <x v="0"/>
    <n v="2025"/>
    <x v="6"/>
    <x v="7"/>
    <x v="7"/>
    <d v="2025-02-05T00:00:00"/>
    <d v="2025-03-29T00:00:00"/>
    <s v="CHENNAI"/>
    <s v="SHORTS"/>
    <m/>
    <n v="2.4700000000000002"/>
    <n v="63.45"/>
    <n v="5.3"/>
    <n v="84"/>
    <n v="3"/>
    <n v="5"/>
    <n v="4.72"/>
    <n v="2.23"/>
    <n v="245"/>
    <n v="254.02542372881356"/>
    <n v="1199"/>
    <n v="3"/>
    <n v="5"/>
    <n v="4.72"/>
    <n v="280"/>
    <n v="35"/>
    <n v="280"/>
    <n v="1321.6"/>
    <n v="132.16"/>
    <n v="294.12184831232207"/>
    <n v="1388.2551240341602"/>
  </r>
  <r>
    <x v="0"/>
    <n v="2025"/>
    <x v="6"/>
    <x v="7"/>
    <x v="7"/>
    <d v="2025-02-05T00:00:00"/>
    <d v="2025-03-29T00:00:00"/>
    <s v="CHENNAI"/>
    <s v="SHORTS"/>
    <s v="TGBU8737221"/>
    <n v="2.25"/>
    <n v="82.62"/>
    <n v="21.71"/>
    <n v="224"/>
    <n v="3"/>
    <n v="5"/>
    <n v="19.73"/>
    <n v="3.42"/>
    <n v="245"/>
    <n v="320"/>
    <n v="6313.6"/>
    <n v="3"/>
    <n v="5"/>
    <n v="19.73"/>
    <n v="280"/>
    <n v="35"/>
    <n v="355"/>
    <n v="7004.1500000000005"/>
    <n v="700.41500000000008"/>
    <n v="294.12184831232207"/>
    <n v="5803.0240672021146"/>
  </r>
  <r>
    <x v="0"/>
    <n v="2025"/>
    <x v="6"/>
    <x v="7"/>
    <x v="7"/>
    <d v="2025-02-05T00:00:00"/>
    <d v="2025-03-29T00:00:00"/>
    <s v="CHENNAI"/>
    <s v="SHORTS"/>
    <s v="OOCU7917076"/>
    <n v="2.25"/>
    <n v="63.22"/>
    <n v="22"/>
    <n v="388"/>
    <n v="3"/>
    <n v="5"/>
    <n v="19.54"/>
    <n v="2"/>
    <n v="245"/>
    <n v="245"/>
    <n v="4787.3"/>
    <n v="3"/>
    <n v="5"/>
    <n v="19.54"/>
    <n v="280"/>
    <n v="35"/>
    <n v="280"/>
    <n v="5471.2"/>
    <n v="547.12"/>
    <n v="294.12184831232207"/>
    <n v="5747.1409160227731"/>
  </r>
  <r>
    <x v="0"/>
    <n v="2025"/>
    <x v="6"/>
    <x v="7"/>
    <x v="7"/>
    <d v="2025-02-05T00:00:00"/>
    <d v="2025-03-29T00:00:00"/>
    <s v="CHENNAI"/>
    <s v="SHORTS"/>
    <s v="OOCU6960057"/>
    <n v="2.25"/>
    <n v="65.930000000000007"/>
    <n v="22.14"/>
    <n v="361"/>
    <n v="3"/>
    <n v="5"/>
    <n v="19.73"/>
    <n v="2.17"/>
    <n v="245"/>
    <n v="245"/>
    <n v="4833.8500000000004"/>
    <n v="3"/>
    <n v="5"/>
    <n v="19.73"/>
    <n v="280"/>
    <n v="35"/>
    <n v="280"/>
    <n v="5524.4000000000005"/>
    <n v="552.44000000000005"/>
    <n v="294.12184831232207"/>
    <n v="5803.0240672021146"/>
  </r>
  <r>
    <x v="0"/>
    <n v="2025"/>
    <x v="6"/>
    <x v="7"/>
    <x v="7"/>
    <d v="2025-02-05T00:00:00"/>
    <d v="2025-03-29T00:00:00"/>
    <s v="CHENNAI"/>
    <s v="SHORTS"/>
    <s v="CCLU7335775"/>
    <n v="2.25"/>
    <n v="81.459999999999994"/>
    <n v="21.61"/>
    <n v="229"/>
    <n v="3"/>
    <n v="5"/>
    <n v="19.62"/>
    <n v="3.33"/>
    <n v="245"/>
    <n v="320"/>
    <n v="6278.4000000000005"/>
    <n v="3"/>
    <n v="5"/>
    <n v="19.62"/>
    <n v="280"/>
    <n v="35"/>
    <n v="355"/>
    <n v="6965.1"/>
    <n v="696.5100000000001"/>
    <n v="294.12184831232207"/>
    <n v="5770.6706638877595"/>
  </r>
  <r>
    <x v="1"/>
    <m/>
    <x v="1"/>
    <x v="1"/>
    <x v="1"/>
    <m/>
    <m/>
    <m/>
    <m/>
    <m/>
    <m/>
    <m/>
    <m/>
    <m/>
    <m/>
    <m/>
    <m/>
    <m/>
    <m/>
    <m/>
    <n v="0"/>
    <m/>
    <m/>
    <m/>
    <m/>
    <n v="0"/>
    <m/>
    <n v="0"/>
    <n v="0"/>
    <m/>
    <n v="0"/>
  </r>
  <r>
    <x v="0"/>
    <n v="2025"/>
    <x v="6"/>
    <x v="8"/>
    <x v="8"/>
    <s v="YTS"/>
    <s v="YTS"/>
    <s v="MUNDRA"/>
    <s v="LONGS"/>
    <s v="CSLU6078518"/>
    <n v="8.48"/>
    <n v="85"/>
    <n v="19.799000000000003"/>
    <n v="50"/>
    <n v="3"/>
    <n v="5"/>
    <n v="18.344999999999999"/>
    <n v="13.98"/>
    <n v="300"/>
    <n v="444.10590820367594"/>
    <n v="8147.1228859964349"/>
    <n v="3"/>
    <n v="5"/>
    <n v="18.344999999999999"/>
    <n v="330"/>
    <n v="30"/>
    <n v="480"/>
    <n v="8805.5999999999985"/>
    <n v="880.56"/>
    <n v="323.04682616691673"/>
    <n v="5926.2940260320875"/>
  </r>
  <r>
    <x v="0"/>
    <n v="2025"/>
    <x v="6"/>
    <x v="8"/>
    <x v="8"/>
    <s v="YTS"/>
    <s v="YTS"/>
    <s v="MUNDRA"/>
    <s v="SHORTS"/>
    <s v="CBHU9448929"/>
    <n v="2.2400000000000002"/>
    <n v="67"/>
    <n v="20.274000000000004"/>
    <n v="315"/>
    <n v="3"/>
    <n v="5"/>
    <n v="18.102999999999994"/>
    <n v="2.27"/>
    <n v="245"/>
    <n v="259.10590820367594"/>
    <n v="4690.5942562111441"/>
    <n v="3"/>
    <n v="5"/>
    <n v="18.102999999999994"/>
    <n v="280"/>
    <n v="35"/>
    <n v="295"/>
    <n v="5340.3849999999984"/>
    <n v="534.03849999999989"/>
    <n v="323.04682616691673"/>
    <n v="5848.1166940996918"/>
  </r>
  <r>
    <x v="0"/>
    <n v="2025"/>
    <x v="6"/>
    <x v="8"/>
    <x v="8"/>
    <s v="YTS"/>
    <s v="YTS"/>
    <s v="MUNDRA"/>
    <s v="SHORTS"/>
    <s v="SEKU4679790"/>
    <n v="2.19"/>
    <n v="69"/>
    <n v="19.755000000000003"/>
    <n v="288"/>
    <n v="3"/>
    <n v="5"/>
    <n v="17.726999999999997"/>
    <n v="2.42"/>
    <n v="245"/>
    <n v="259.10590820367594"/>
    <n v="4593.1704347265622"/>
    <n v="3"/>
    <n v="5"/>
    <n v="17.726999999999997"/>
    <n v="280"/>
    <n v="35"/>
    <n v="295"/>
    <n v="5229.4649999999992"/>
    <n v="522.9464999999999"/>
    <n v="323.04682616691673"/>
    <n v="5726.6510874609321"/>
  </r>
  <r>
    <x v="0"/>
    <n v="2025"/>
    <x v="6"/>
    <x v="8"/>
    <x v="8"/>
    <s v="YTS"/>
    <s v="YTS"/>
    <s v="MUNDRA"/>
    <s v="LONGS"/>
    <s v="TGBU4868368"/>
    <n v="7.45"/>
    <n v="79"/>
    <n v="18.332000000000004"/>
    <n v="60"/>
    <n v="3"/>
    <n v="5"/>
    <n v="16.898"/>
    <n v="10.79"/>
    <n v="300"/>
    <n v="384.10590820367594"/>
    <n v="6490.6216368257155"/>
    <n v="3"/>
    <n v="5"/>
    <n v="16.898"/>
    <n v="330"/>
    <n v="30"/>
    <n v="420"/>
    <n v="7097.16"/>
    <n v="709.71600000000001"/>
    <n v="323.04682616691673"/>
    <n v="5458.8452685685588"/>
  </r>
  <r>
    <x v="0"/>
    <n v="2025"/>
    <x v="6"/>
    <x v="8"/>
    <x v="8"/>
    <s v="YTS"/>
    <s v="YTS"/>
    <s v="MUNDRA"/>
    <s v="SHORTS"/>
    <s v="TCNU1328284"/>
    <n v="2.2000000000000002"/>
    <n v="67"/>
    <n v="6.5210000000000008"/>
    <n v="103"/>
    <n v="3"/>
    <n v="5"/>
    <n v="5.8189999999999982"/>
    <n v="2.2400000000000002"/>
    <n v="245"/>
    <n v="244.10590820367591"/>
    <n v="1420.4522798371897"/>
    <n v="3"/>
    <n v="5"/>
    <n v="5.8189999999999982"/>
    <n v="280"/>
    <n v="35"/>
    <n v="280"/>
    <n v="1629.3199999999995"/>
    <n v="162.93199999999996"/>
    <n v="323.04682616691673"/>
    <n v="1879.8094814652879"/>
  </r>
  <r>
    <x v="0"/>
    <n v="2025"/>
    <x v="6"/>
    <x v="8"/>
    <x v="8"/>
    <s v="YTS"/>
    <s v="YTS"/>
    <s v="MUNDRA"/>
    <s v="SEMI LONGS"/>
    <s v="FFAU3499278"/>
    <n v="5.28"/>
    <n v="70"/>
    <n v="19.638999999999999"/>
    <n v="120"/>
    <n v="3"/>
    <n v="5"/>
    <n v="17.832999999999995"/>
    <n v="5.78"/>
    <n v="285"/>
    <n v="339.10590820367594"/>
    <n v="6047.2756609961516"/>
    <n v="3"/>
    <n v="5"/>
    <n v="17.832999999999995"/>
    <n v="315"/>
    <n v="30"/>
    <n v="375"/>
    <n v="6687.3749999999982"/>
    <n v="668.73749999999984"/>
    <n v="323.04682616691673"/>
    <n v="5760.8940510346247"/>
  </r>
  <r>
    <x v="0"/>
    <n v="2025"/>
    <x v="6"/>
    <x v="8"/>
    <x v="8"/>
    <s v="YTS"/>
    <s v="YTS"/>
    <s v="MUNDRA"/>
    <s v="LONGS"/>
    <m/>
    <n v="7.38"/>
    <n v="83"/>
    <n v="12.625000000000004"/>
    <n v="39"/>
    <n v="3"/>
    <n v="5"/>
    <n v="11.657999999999999"/>
    <n v="11.43"/>
    <n v="300"/>
    <n v="414.10590820367594"/>
    <n v="4827.6466778384538"/>
    <n v="3"/>
    <n v="5"/>
    <n v="11.657999999999999"/>
    <n v="330"/>
    <n v="30"/>
    <n v="450"/>
    <n v="5246.0999999999995"/>
    <n v="524.61"/>
    <n v="323.04682616691673"/>
    <n v="3766.079899453915"/>
  </r>
  <r>
    <x v="0"/>
    <n v="2025"/>
    <x v="6"/>
    <x v="8"/>
    <x v="8"/>
    <s v="YTS"/>
    <s v="YTS"/>
    <s v="MUNDRA"/>
    <s v="SHORTS"/>
    <s v="FFAU3615486"/>
    <n v="2.2400000000000002"/>
    <n v="61"/>
    <n v="19.860000000000007"/>
    <n v="361"/>
    <n v="3"/>
    <n v="5"/>
    <n v="17.624000000000002"/>
    <n v="1.94"/>
    <n v="245"/>
    <n v="229.10590820367591"/>
    <n v="4037.7625261815847"/>
    <n v="3"/>
    <n v="5"/>
    <n v="17.624000000000002"/>
    <n v="280"/>
    <n v="35"/>
    <n v="265"/>
    <n v="4670.3600000000006"/>
    <n v="467.03600000000006"/>
    <n v="323.04682616691673"/>
    <n v="5693.3772643657412"/>
  </r>
  <r>
    <x v="0"/>
    <n v="2025"/>
    <x v="6"/>
    <x v="8"/>
    <x v="8"/>
    <s v="YTS"/>
    <s v="YTS"/>
    <s v="MUNDRA"/>
    <s v="SHORTS"/>
    <s v="FSCU8983907"/>
    <n v="2.21"/>
    <n v="65"/>
    <n v="7.0059999999999985"/>
    <n v="115"/>
    <n v="3"/>
    <n v="5"/>
    <n v="6.2390000000000008"/>
    <n v="2.15"/>
    <n v="245"/>
    <n v="244.10590820367591"/>
    <n v="1522.9767612827343"/>
    <n v="3"/>
    <n v="5"/>
    <n v="6.2390000000000008"/>
    <n v="280"/>
    <n v="35"/>
    <n v="280"/>
    <n v="1746.9200000000003"/>
    <n v="174.69200000000004"/>
    <n v="323.04682616691673"/>
    <n v="2015.4891484553937"/>
  </r>
  <r>
    <x v="0"/>
    <n v="2025"/>
    <x v="6"/>
    <x v="8"/>
    <x v="8"/>
    <s v="YTS"/>
    <s v="YTS"/>
    <s v="MUNDRA"/>
    <s v="LONGS"/>
    <s v="FCIU9691650"/>
    <n v="8.2100000000000009"/>
    <n v="80"/>
    <n v="19.746000000000006"/>
    <n v="57"/>
    <n v="3"/>
    <n v="5"/>
    <n v="18.229999999999997"/>
    <n v="12.23"/>
    <n v="300"/>
    <n v="414.10590820367594"/>
    <n v="7549.1507065530113"/>
    <n v="3"/>
    <n v="5"/>
    <n v="18.229999999999997"/>
    <n v="330"/>
    <n v="30"/>
    <n v="450"/>
    <n v="8203.4999999999982"/>
    <n v="820.34999999999991"/>
    <n v="323.04682616691673"/>
    <n v="5889.1436410228907"/>
  </r>
  <r>
    <x v="0"/>
    <n v="2025"/>
    <x v="6"/>
    <x v="8"/>
    <x v="8"/>
    <s v="YTS"/>
    <s v="YTS"/>
    <s v="MUNDRA"/>
    <s v="LONGS"/>
    <m/>
    <n v="6.99"/>
    <n v="68"/>
    <n v="12.538000000000002"/>
    <n v="61"/>
    <n v="3"/>
    <n v="5"/>
    <n v="11.379000000000003"/>
    <n v="7.26"/>
    <n v="300"/>
    <n v="324.10590820367594"/>
    <n v="3688.0011294496294"/>
    <n v="3"/>
    <n v="5"/>
    <n v="11.379000000000003"/>
    <n v="330"/>
    <n v="30"/>
    <n v="360"/>
    <n v="4096.4400000000014"/>
    <n v="409.64400000000018"/>
    <n v="323.04682616691673"/>
    <n v="3675.9498349533465"/>
  </r>
  <r>
    <x v="0"/>
    <n v="2025"/>
    <x v="6"/>
    <x v="8"/>
    <x v="8"/>
    <s v="YTS"/>
    <s v="YTS"/>
    <s v="MUNDRA"/>
    <s v="SHORTS"/>
    <s v="DFSU7439750"/>
    <n v="2.21"/>
    <n v="64"/>
    <n v="19.559999999999999"/>
    <n v="332"/>
    <n v="3"/>
    <n v="5"/>
    <n v="17.407000000000004"/>
    <n v="2.08"/>
    <n v="245"/>
    <n v="244.10590820367591"/>
    <n v="4249.1515441013871"/>
    <n v="3"/>
    <n v="5"/>
    <n v="17.407000000000004"/>
    <n v="280"/>
    <n v="35"/>
    <n v="280"/>
    <n v="4873.9600000000009"/>
    <n v="487.39600000000013"/>
    <n v="323.04682616691673"/>
    <n v="5623.2761030875208"/>
  </r>
  <r>
    <x v="1"/>
    <m/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</r>
  <r>
    <x v="0"/>
    <n v="2025"/>
    <x v="7"/>
    <x v="9"/>
    <x v="9"/>
    <s v="YTS"/>
    <s v="YTS"/>
    <s v="CHENNAI"/>
    <s v="SHORTS"/>
    <s v="TGBU9834186"/>
    <n v="2.37"/>
    <n v="61.67"/>
    <n v="21.95"/>
    <n v="380"/>
    <n v="3"/>
    <n v="5"/>
    <n v="19.5"/>
    <n v="2.04"/>
    <n v="245"/>
    <n v="245.89230769230767"/>
    <n v="4794.8999999999996"/>
    <n v="3"/>
    <n v="5"/>
    <n v="19.5"/>
    <n v="280"/>
    <n v="35"/>
    <n v="280"/>
    <n v="5460"/>
    <n v="546"/>
    <n v="295.3875802997859"/>
    <n v="5760.0578158458247"/>
  </r>
  <r>
    <x v="0"/>
    <n v="2025"/>
    <x v="7"/>
    <x v="9"/>
    <x v="9"/>
    <s v="YTS"/>
    <s v="YTS"/>
    <s v="CHENNAI"/>
    <s v="LONGS"/>
    <m/>
    <n v="7"/>
    <n v="73.819999999999993"/>
    <n v="16.43"/>
    <n v="68"/>
    <n v="3"/>
    <n v="5"/>
    <n v="15.03"/>
    <n v="8.5299999999999994"/>
    <n v="300"/>
    <n v="360"/>
    <n v="5410.8"/>
    <n v="3"/>
    <n v="5"/>
    <n v="15.03"/>
    <n v="330"/>
    <n v="30"/>
    <n v="390"/>
    <n v="5861.7"/>
    <n v="586.16999999999996"/>
    <n v="295.3875802997859"/>
    <n v="4439.6753319057816"/>
  </r>
  <r>
    <x v="0"/>
    <n v="2025"/>
    <x v="7"/>
    <x v="9"/>
    <x v="9"/>
    <s v="YTS"/>
    <s v="YTS"/>
    <s v="CHENNAI"/>
    <s v="SHORTS"/>
    <s v="TCLU9703640"/>
    <n v="2.25"/>
    <n v="61.42"/>
    <n v="5.0999999999999996"/>
    <n v="95"/>
    <n v="3"/>
    <n v="5"/>
    <n v="4.5199999999999996"/>
    <n v="1.9"/>
    <n v="245"/>
    <n v="230"/>
    <n v="1039.5999999999999"/>
    <n v="3"/>
    <n v="5"/>
    <n v="4.5199999999999996"/>
    <n v="280"/>
    <n v="35"/>
    <n v="265"/>
    <n v="1197.8"/>
    <n v="119.78"/>
    <n v="295.3875802997859"/>
    <n v="1335.1518629550321"/>
  </r>
  <r>
    <x v="0"/>
    <n v="2025"/>
    <x v="7"/>
    <x v="9"/>
    <x v="9"/>
    <s v="YTS"/>
    <s v="YTS"/>
    <s v="CHENNAI"/>
    <s v="SHORTS"/>
    <s v="TIIU5952549"/>
    <n v="2.25"/>
    <n v="83.67"/>
    <n v="21.76"/>
    <n v="219"/>
    <n v="3"/>
    <n v="5"/>
    <n v="19.78"/>
    <n v="3.51"/>
    <n v="245"/>
    <n v="335"/>
    <n v="6626.3"/>
    <n v="3"/>
    <n v="5"/>
    <n v="19.78"/>
    <n v="280"/>
    <n v="35"/>
    <n v="370"/>
    <n v="7318.6"/>
    <n v="731.86000000000013"/>
    <n v="295.3875802997859"/>
    <n v="5842.7663383297649"/>
  </r>
  <r>
    <x v="0"/>
    <n v="2025"/>
    <x v="7"/>
    <x v="9"/>
    <x v="9"/>
    <s v="YTS"/>
    <s v="YTS"/>
    <s v="CHENNAI"/>
    <s v="SHORTS"/>
    <s v="CBHU8942120"/>
    <n v="2.2599999999999998"/>
    <n v="60.84"/>
    <n v="22.1"/>
    <n v="416"/>
    <n v="3"/>
    <n v="5"/>
    <n v="19.559999999999999"/>
    <n v="1.88"/>
    <n v="245"/>
    <n v="233.54294478527606"/>
    <n v="4568.0999999999995"/>
    <n v="3"/>
    <n v="5"/>
    <n v="19.559999999999999"/>
    <n v="280"/>
    <n v="35"/>
    <n v="265"/>
    <n v="5183.3999999999996"/>
    <n v="518.34"/>
    <n v="295.3875802997859"/>
    <n v="5777.781070663812"/>
  </r>
  <r>
    <x v="0"/>
    <n v="2025"/>
    <x v="7"/>
    <x v="9"/>
    <x v="9"/>
    <s v="YTS"/>
    <s v="YTS"/>
    <s v="CHENNAI"/>
    <s v="SHORTS"/>
    <s v="CSNU6597526"/>
    <n v="2.25"/>
    <n v="65.39"/>
    <n v="5.2"/>
    <n v="86"/>
    <n v="3"/>
    <n v="5"/>
    <n v="4.63"/>
    <n v="2.14"/>
    <n v="245"/>
    <n v="245"/>
    <n v="1134.3499999999999"/>
    <n v="3"/>
    <n v="5"/>
    <n v="4.63"/>
    <n v="280"/>
    <n v="35"/>
    <n v="280"/>
    <n v="1296.3999999999999"/>
    <n v="129.63999999999999"/>
    <n v="295.3875802997859"/>
    <n v="1367.6444967880086"/>
  </r>
  <r>
    <x v="0"/>
    <n v="2025"/>
    <x v="7"/>
    <x v="9"/>
    <x v="9"/>
    <s v="YTS"/>
    <s v="YTS"/>
    <s v="CHENNAI"/>
    <s v="LONGS"/>
    <m/>
    <n v="7"/>
    <n v="72.459999999999994"/>
    <n v="16.489999999999998"/>
    <n v="71"/>
    <n v="3"/>
    <n v="5"/>
    <n v="15.05"/>
    <n v="8.1999999999999993"/>
    <n v="300"/>
    <n v="360"/>
    <n v="5418"/>
    <n v="3"/>
    <n v="5"/>
    <n v="15.05"/>
    <n v="330"/>
    <n v="30"/>
    <n v="390"/>
    <n v="5869.5"/>
    <n v="586.95000000000005"/>
    <n v="295.3875802997859"/>
    <n v="4445.5830835117777"/>
  </r>
  <r>
    <x v="1"/>
    <m/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20323-4FCD-4E08-9E41-2320531CC987}" name="PivotTable1" cacheId="0" applyNumberFormats="0" applyBorderFormats="0" applyFontFormats="0" applyPatternFormats="0" applyAlignmentFormats="0" applyWidthHeightFormats="1" dataCaption="Values" missingCaption="0" updatedVersion="8" minRefreshableVersion="3" showDrill="0" useAutoFormatting="1" itemPrintTitles="1" createdVersion="8" indent="0" compact="0" compactData="0" gridDropZones="1" multipleFieldFilters="0">
  <location ref="A3:I15" firstHeaderRow="1" firstDataRow="2" firstDataCol="2"/>
  <pivotFields count="31">
    <pivotField axis="axisRow" compact="0" outline="0" showAll="0">
      <items count="4">
        <item m="1" x="2"/>
        <item x="0"/>
        <item h="1" x="1"/>
        <item t="default"/>
      </items>
    </pivotField>
    <pivotField compact="0" numFmtId="1" outline="0" showAll="0"/>
    <pivotField compact="0" numFmtId="15" outline="0" showAll="0" defaultSubtotal="0">
      <items count="19">
        <item x="0"/>
        <item m="1" x="12"/>
        <item m="1" x="17"/>
        <item m="1" x="13"/>
        <item x="2"/>
        <item x="1"/>
        <item m="1" x="18"/>
        <item m="1" x="8"/>
        <item m="1" x="9"/>
        <item m="1" x="10"/>
        <item m="1" x="11"/>
        <item m="1" x="14"/>
        <item m="1" x="15"/>
        <item m="1" x="16"/>
        <item x="3"/>
        <item x="4"/>
        <item x="5"/>
        <item x="6"/>
        <item x="7"/>
      </items>
    </pivotField>
    <pivotField axis="axisRow" compact="0" outline="0" showAll="0">
      <items count="26">
        <item m="1" x="19"/>
        <item m="1" x="21"/>
        <item m="1" x="22"/>
        <item m="1" x="23"/>
        <item m="1" x="20"/>
        <item x="0"/>
        <item x="2"/>
        <item x="3"/>
        <item x="1"/>
        <item m="1" x="24"/>
        <item m="1" x="10"/>
        <item m="1" x="11"/>
        <item m="1" x="12"/>
        <item m="1" x="13"/>
        <item m="1" x="14"/>
        <item m="1" x="15"/>
        <item m="1" x="16"/>
        <item m="1" x="17"/>
        <item m="1" x="18"/>
        <item x="4"/>
        <item x="5"/>
        <item x="6"/>
        <item x="7"/>
        <item x="8"/>
        <item x="9"/>
        <item t="default"/>
      </items>
    </pivotField>
    <pivotField compact="0" outline="0" showAll="0">
      <items count="24">
        <item x="2"/>
        <item x="0"/>
        <item m="1" x="14"/>
        <item m="1" x="15"/>
        <item m="1" x="19"/>
        <item m="1" x="20"/>
        <item x="3"/>
        <item m="1" x="21"/>
        <item x="1"/>
        <item m="1" x="22"/>
        <item m="1" x="10"/>
        <item m="1" x="11"/>
        <item m="1" x="12"/>
        <item m="1" x="13"/>
        <item m="1" x="16"/>
        <item m="1" x="17"/>
        <item m="1" x="18"/>
        <item x="4"/>
        <item x="5"/>
        <item x="6"/>
        <item x="7"/>
        <item x="8"/>
        <item x="9"/>
        <item t="default"/>
      </items>
    </pivotField>
    <pivotField compact="0" numFmtId="15" outline="0" showAll="0"/>
    <pivotField compact="0" numFmtId="15" outline="0" showAll="0"/>
    <pivotField compact="0" outline="0" showAll="0"/>
    <pivotField compact="0" outline="0" showAll="0"/>
    <pivotField dataField="1" compact="0" outline="0" showAll="0"/>
    <pivotField compact="0" numFmtId="2" outline="0" showAll="0"/>
    <pivotField compact="0" numFmtId="2" outline="0" showAll="0"/>
    <pivotField compact="0" numFmtId="167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2" outline="0" showAll="0"/>
    <pivotField compact="0" numFmtId="2" outline="0" showAll="0"/>
    <pivotField name="SALES VOL2" dataField="1" compact="0" outline="0" showAll="0"/>
    <pivotField compact="0" numFmtId="3" outline="0" showAll="0"/>
    <pivotField compact="0" outline="0" showAll="0"/>
    <pivotField compact="0" numFmtId="3" outline="0" showAll="0"/>
    <pivotField dataField="1" compact="0" numFmtId="3" outline="0" showAll="0"/>
    <pivotField dataField="1" compact="0" numFmtId="37" outline="0" showAll="0"/>
    <pivotField compact="0" numFmtId="3" outline="0" showAll="0"/>
    <pivotField dataField="1" compact="0" numFmtId="37" outline="0" showAll="0"/>
  </pivotFields>
  <rowFields count="2">
    <field x="0"/>
    <field x="3"/>
  </rowFields>
  <rowItems count="11">
    <i>
      <x v="1"/>
      <x v="5"/>
    </i>
    <i r="1">
      <x v="6"/>
    </i>
    <i r="1">
      <x v="7"/>
    </i>
    <i r="1">
      <x v="19"/>
    </i>
    <i r="1">
      <x v="20"/>
    </i>
    <i r="1">
      <x v="21"/>
    </i>
    <i r="1">
      <x v="22"/>
    </i>
    <i r="1">
      <x v="23"/>
    </i>
    <i r="1">
      <x v="24"/>
    </i>
    <i t="default"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NTAINERS " fld="9" subtotal="count" baseField="0" baseItem="0"/>
    <dataField name="Purchase Vol" fld="16" baseField="2" baseItem="0" numFmtId="167"/>
    <dataField name="Purchase Value " fld="20" baseField="2" baseItem="0" numFmtId="165"/>
    <dataField name="SALES VOL" fld="23" baseField="4" baseItem="15" numFmtId="167"/>
    <dataField name="SALES VALUE " fld="27" baseField="0" baseItem="0" numFmtId="165"/>
    <dataField name="SERV FEES " fld="28" baseField="0" baseItem="0" numFmtId="165"/>
    <dataField name="Sales Inv Value " fld="30" baseField="0" baseItem="0" numFmtId="165"/>
  </dataFields>
  <formats count="34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" type="button" dataOnly="0" labelOnly="1" outline="0"/>
    </format>
    <format dxfId="35">
      <pivotArea dataOnly="0" labelOnly="1" grandRow="1" outline="0" fieldPosition="0"/>
    </format>
    <format dxfId="34">
      <pivotArea type="topRight" dataOnly="0" labelOnly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2" type="button" dataOnly="0" labelOnly="1" outline="0"/>
    </format>
    <format dxfId="29">
      <pivotArea dataOnly="0" labelOnly="1" grandRow="1" outline="0" fieldPosition="0"/>
    </format>
    <format dxfId="28">
      <pivotArea type="topRight" dataOnly="0" labelOnly="1" outline="0" fieldPosition="0"/>
    </format>
    <format dxfId="27">
      <pivotArea field="2" type="button" dataOnly="0" labelOnly="1" outline="0"/>
    </format>
    <format dxfId="26">
      <pivotArea field="3" type="button" dataOnly="0" labelOnly="1" outline="0" axis="axisRow" fieldPosition="1"/>
    </format>
    <format dxfId="25">
      <pivotArea field="4" type="button" dataOnly="0" labelOnly="1" outline="0"/>
    </format>
    <format dxfId="24">
      <pivotArea dataOnly="0" labelOnly="1" outline="0" fieldPosition="0">
        <references count="1">
          <reference field="4294967294" count="4">
            <x v="0"/>
            <x v="4"/>
            <x v="5"/>
            <x v="6"/>
          </reference>
        </references>
      </pivotArea>
    </format>
    <format dxfId="23">
      <pivotArea field="2" type="button" dataOnly="0" labelOnly="1" outline="0"/>
    </format>
    <format dxfId="22">
      <pivotArea field="3" type="button" dataOnly="0" labelOnly="1" outline="0" axis="axisRow" fieldPosition="1"/>
    </format>
    <format dxfId="21">
      <pivotArea field="4" type="button" dataOnly="0" labelOnly="1" outline="0"/>
    </format>
    <format dxfId="20">
      <pivotArea dataOnly="0" labelOnly="1" outline="0" fieldPosition="0">
        <references count="1">
          <reference field="4294967294" count="4">
            <x v="0"/>
            <x v="4"/>
            <x v="5"/>
            <x v="6"/>
          </reference>
        </references>
      </pivotArea>
    </format>
    <format dxfId="19">
      <pivotArea dataOnly="0" grandRow="1" outline="0" fieldPosition="0"/>
    </format>
    <format dxfId="18">
      <pivotArea dataOnly="0" grandRow="1" outline="0" fieldPosition="0"/>
    </format>
    <format dxfId="17">
      <pivotArea outline="0" fieldPosition="0">
        <references count="1">
          <reference field="4294967294" count="1">
            <x v="1"/>
          </reference>
        </references>
      </pivotArea>
    </format>
    <format dxfId="16">
      <pivotArea outline="0" fieldPosition="0">
        <references count="1">
          <reference field="4294967294" count="1"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3">
      <pivotArea outline="0" fieldPosition="0">
        <references count="1">
          <reference field="4294967294" count="4" selected="0">
            <x v="2"/>
            <x v="4"/>
            <x v="5"/>
            <x v="6"/>
          </reference>
        </references>
      </pivotArea>
    </format>
    <format dxfId="12">
      <pivotArea dataOnly="0" outline="0" fieldPosition="0">
        <references count="1">
          <reference field="0" count="0" defaultSubtotal="1"/>
        </references>
      </pivotArea>
    </format>
    <format dxfId="11">
      <pivotArea field="0" type="button" dataOnly="0" labelOnly="1" outline="0" axis="axisRow" fieldPosition="0"/>
    </format>
    <format dxfId="10">
      <pivotArea field="0" type="button" dataOnly="0" labelOnly="1" outline="0" axis="axisRow" fieldPosition="0"/>
    </format>
    <format dxfId="9">
      <pivotArea dataOnly="0" outline="0" fieldPosition="0">
        <references count="1">
          <reference field="0" count="0" defaultSubtotal="1"/>
        </references>
      </pivotArea>
    </format>
    <format dxfId="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">
      <pivotArea outline="0" fieldPosition="0">
        <references count="1">
          <reference field="4294967294" count="1"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CC460-CDA1-49DB-94FF-59CDF64A0245}" name="Table1" displayName="Table1" ref="A3:AF68" totalsRowShown="0" headerRowDxfId="75" dataDxfId="73" headerRowBorderDxfId="74" tableBorderDxfId="72" totalsRowBorderDxfId="71">
  <autoFilter ref="A3:AF68" xr:uid="{A05819B2-82CB-4458-833C-6EAEBD9C3CE6}"/>
  <tableColumns count="32">
    <tableColumn id="1" xr3:uid="{05FC1B8C-8E35-438A-B5F8-655BA1FE61F8}" name="INVOICE UNDER" dataDxfId="70"/>
    <tableColumn id="37" xr3:uid="{B73C65A4-9613-4936-80AE-85DE51DCC740}" name="YEAR" dataDxfId="69"/>
    <tableColumn id="5" xr3:uid="{527C534F-F1B0-419B-A04E-BEB5132709CF}" name="INVOICE DATE" dataDxfId="68" dataCellStyle="Currency"/>
    <tableColumn id="6" xr3:uid="{F2AA33BC-694F-482B-BCBE-25D880FC26AE}" name="SA NO" dataDxfId="67"/>
    <tableColumn id="9" xr3:uid="{E2034762-CCB7-4025-BFAF-E5A4EA1AE8B9}" name="BL NO" dataDxfId="66"/>
    <tableColumn id="10" xr3:uid="{FAEC52B7-3D39-4EAE-8A8C-D03E0AF3D7D8}" name="BL DATE" dataDxfId="65"/>
    <tableColumn id="11" xr3:uid="{7802D701-DDDC-484A-9E58-402A12D517F7}" name="ETA" dataDxfId="64"/>
    <tableColumn id="12" xr3:uid="{78EFEAC1-7E73-4561-8242-E720654A4CD1}" name="POD" dataDxfId="63"/>
    <tableColumn id="36" xr3:uid="{0FF5C95A-6F5E-4A3F-A006-63C3FC6979DA}" name="PRODUCT" dataDxfId="62"/>
    <tableColumn id="13" xr3:uid="{A741BCBE-57ED-4768-928C-7BCA46FDBB77}" name="CONTAINERS" dataDxfId="61"/>
    <tableColumn id="14" xr3:uid="{D563D760-AB5D-4A30-9FCB-9B87EE6C1483}" name="GROSS LENGTH" dataDxfId="60"/>
    <tableColumn id="15" xr3:uid="{849C124F-B062-4D35-BCCB-2C39448C72CD}" name="GROSS GIRTH" dataDxfId="59"/>
    <tableColumn id="16" xr3:uid="{C358B5DD-A983-4239-9B24-390501B038D2}" name="GROSS VOL" dataDxfId="58"/>
    <tableColumn id="17" xr3:uid="{3AC7D3CF-023D-48D1-AB25-B0757F537A19}" name="PCS" dataDxfId="57"/>
    <tableColumn id="18" xr3:uid="{6832BCBC-4C70-449C-9129-AA5BFC09A648}" name="P G ALLOWANCE" dataDxfId="56"/>
    <tableColumn id="19" xr3:uid="{9B2C0694-8841-4821-8513-0E39078ED61B}" name="P L ALLOWANCE" dataDxfId="55"/>
    <tableColumn id="20" xr3:uid="{76BC445F-5984-46BE-B9A4-72556CBE7388}" name="Purchase Volume" dataDxfId="54"/>
    <tableColumn id="3" xr3:uid="{0AE25ADA-B58C-4150-A42C-24E2F5E01B9E}" name="PURCHASE CFT" dataDxfId="53"/>
    <tableColumn id="4" xr3:uid="{9D5D82CE-6E2D-4D92-9DEB-564353FFEA08}" name="Column1" dataDxfId="0">
      <calculatedColumnFormula>Table1[[#This Row],[GROSS VOL]]/Table1[[#This Row],[PCS]]*35.315</calculatedColumnFormula>
    </tableColumn>
    <tableColumn id="21" xr3:uid="{722547E8-F845-4B5C-AE28-BB7CED4086B7}" name="P Base Price" dataDxfId="52"/>
    <tableColumn id="22" xr3:uid="{CC7B6CA1-B92A-45C2-A95F-1BBBC0C9C216}" name="Purchase Price" dataDxfId="51"/>
    <tableColumn id="23" xr3:uid="{F1ECF938-7E59-43A9-8A21-931F6592896E}" name="Purchase Value" dataDxfId="50">
      <calculatedColumnFormula>Table1[[#This Row],[Purchase Volume]]*Table1[[#This Row],[Purchase Price]]</calculatedColumnFormula>
    </tableColumn>
    <tableColumn id="27" xr3:uid="{31D70BE9-60D6-4AF4-A520-938472714BD2}" name="Sales G ALLOWANE" dataDxfId="49"/>
    <tableColumn id="28" xr3:uid="{C6230AD8-AA9F-4F91-8A4A-82DED574F94C}" name="Sales L ALLOWANCE" dataDxfId="48"/>
    <tableColumn id="2" xr3:uid="{9A300B02-B377-47E4-AD6F-99ABABC8FA90}" name="SALES VOL" dataDxfId="47"/>
    <tableColumn id="29" xr3:uid="{B75C67AD-B1B1-448D-A8A2-9385FC9E642C}" name="BASE PRICE" dataDxfId="46" dataCellStyle="Comma 2"/>
    <tableColumn id="26" xr3:uid="{571476B8-0280-47A9-8568-F93631DA2561}" name="Diff" dataDxfId="45" dataCellStyle="Comma 2">
      <calculatedColumnFormula>Table1[[#This Row],[BASE PRICE]]-Table1[[#This Row],[P Base Price]]</calculatedColumnFormula>
    </tableColumn>
    <tableColumn id="30" xr3:uid="{F32F53D9-2324-4159-AF59-2DE98952B307}" name="SALES PRICE" dataDxfId="44"/>
    <tableColumn id="31" xr3:uid="{856B9182-6B0D-46C5-B93E-5194FDA5982E}" name="SALES VALUE" dataDxfId="43">
      <calculatedColumnFormula>Table1[[#This Row],[SALES VOL]]*Table1[[#This Row],[SALES PRICE]]</calculatedColumnFormula>
    </tableColumn>
    <tableColumn id="33" xr3:uid="{42A3963F-F00B-4752-830D-07118203132F}" name="SERV FEES" dataDxfId="42">
      <calculatedColumnFormula>Table1[[#This Row],[SALES VALUE]]*10%</calculatedColumnFormula>
    </tableColumn>
    <tableColumn id="34" xr3:uid="{B6FA2C72-EECA-4963-B267-60804698FCC3}" name="INV. PRICE" dataDxfId="41"/>
    <tableColumn id="35" xr3:uid="{615B73D5-AE7F-4377-A16A-5206D13D71A3}" name="Inv Value" dataDxfId="40">
      <calculatedColumnFormula>Table1[[#This Row],[SALES VOL]]*Table1[[#This Row],[INV. PRICE]]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19B2-82CB-4458-833C-6EAEBD9C3CE6}">
  <dimension ref="A1:AF68"/>
  <sheetViews>
    <sheetView tabSelected="1" topLeftCell="C1" workbookViewId="0">
      <pane ySplit="3" topLeftCell="A22" activePane="bottomLeft" state="frozen"/>
      <selection pane="bottomLeft" activeCell="J34" sqref="J34"/>
    </sheetView>
  </sheetViews>
  <sheetFormatPr defaultColWidth="8.7109375" defaultRowHeight="15" customHeight="1" x14ac:dyDescent="0.2"/>
  <cols>
    <col min="1" max="1" width="17.7109375" style="61" bestFit="1" customWidth="1"/>
    <col min="2" max="2" width="9.28515625" style="61" bestFit="1" customWidth="1"/>
    <col min="3" max="3" width="16.28515625" style="61" bestFit="1" customWidth="1"/>
    <col min="4" max="4" width="13.85546875" style="61" bestFit="1" customWidth="1"/>
    <col min="5" max="5" width="14.5703125" style="61" bestFit="1" customWidth="1"/>
    <col min="6" max="6" width="11.5703125" style="61" bestFit="1" customWidth="1"/>
    <col min="7" max="7" width="9.42578125" style="61" bestFit="1" customWidth="1"/>
    <col min="8" max="8" width="8.85546875" style="61" bestFit="1" customWidth="1"/>
    <col min="9" max="9" width="12.85546875" style="61" bestFit="1" customWidth="1"/>
    <col min="10" max="10" width="15.140625" style="61" customWidth="1"/>
    <col min="11" max="11" width="17" style="61" bestFit="1" customWidth="1"/>
    <col min="12" max="12" width="15.5703125" style="61" bestFit="1" customWidth="1"/>
    <col min="13" max="13" width="14" style="61" bestFit="1" customWidth="1"/>
    <col min="14" max="14" width="8.140625" style="61" bestFit="1" customWidth="1"/>
    <col min="15" max="15" width="18.140625" style="61" customWidth="1"/>
    <col min="16" max="16" width="17.7109375" style="61" customWidth="1"/>
    <col min="17" max="17" width="18.7109375" style="60" bestFit="1" customWidth="1"/>
    <col min="18" max="18" width="16.7109375" style="60" bestFit="1" customWidth="1"/>
    <col min="19" max="19" width="16.7109375" style="60" customWidth="1"/>
    <col min="20" max="20" width="14.5703125" style="61" bestFit="1" customWidth="1"/>
    <col min="21" max="21" width="16.42578125" style="61" bestFit="1" customWidth="1"/>
    <col min="22" max="22" width="17.140625" style="73" bestFit="1" customWidth="1"/>
    <col min="23" max="23" width="20" style="61" customWidth="1"/>
    <col min="24" max="24" width="20.5703125" style="61" customWidth="1"/>
    <col min="25" max="25" width="13.28515625" style="61" customWidth="1"/>
    <col min="26" max="26" width="14" style="61" bestFit="1" customWidth="1"/>
    <col min="27" max="27" width="8.140625" style="61" bestFit="1" customWidth="1"/>
    <col min="28" max="28" width="14.5703125" style="61" bestFit="1" customWidth="1"/>
    <col min="29" max="29" width="15.140625" style="61" bestFit="1" customWidth="1"/>
    <col min="30" max="30" width="13.140625" style="61" bestFit="1" customWidth="1"/>
    <col min="31" max="31" width="13.42578125" style="61" bestFit="1" customWidth="1"/>
    <col min="32" max="32" width="12.42578125" style="61" bestFit="1" customWidth="1"/>
    <col min="33" max="16384" width="8.7109375" style="61"/>
  </cols>
  <sheetData>
    <row r="1" spans="1:32" ht="15" customHeight="1" thickBot="1" x14ac:dyDescent="0.25">
      <c r="H1" s="62"/>
      <c r="I1" s="62"/>
      <c r="O1" s="76" t="s">
        <v>32</v>
      </c>
      <c r="P1" s="77"/>
      <c r="Q1" s="77"/>
      <c r="R1" s="77"/>
      <c r="S1" s="77"/>
      <c r="T1" s="77"/>
      <c r="U1" s="77"/>
      <c r="V1" s="78"/>
      <c r="W1" s="74" t="s">
        <v>33</v>
      </c>
      <c r="X1" s="74"/>
      <c r="Y1" s="74"/>
      <c r="Z1" s="74"/>
      <c r="AA1" s="74"/>
      <c r="AB1" s="74"/>
      <c r="AC1" s="74"/>
      <c r="AD1" s="74"/>
      <c r="AE1" s="74"/>
      <c r="AF1" s="75"/>
    </row>
    <row r="2" spans="1:32" ht="15" customHeight="1" thickBot="1" x14ac:dyDescent="0.25">
      <c r="J2" s="63">
        <f>SUBTOTAL(3,J4:J1012)</f>
        <v>48</v>
      </c>
      <c r="O2" s="64"/>
      <c r="P2" s="65"/>
      <c r="Q2" s="66">
        <f>SUBTOTAL(9,Q4:Q1012)</f>
        <v>912.05299999999988</v>
      </c>
      <c r="R2" s="66"/>
      <c r="S2" s="66"/>
      <c r="T2" s="65"/>
      <c r="U2" s="65"/>
      <c r="V2" s="67">
        <f>SUBTOTAL(9,V4:V1012)</f>
        <v>277392.52649999998</v>
      </c>
      <c r="W2" s="68"/>
      <c r="X2" s="69"/>
      <c r="Y2" s="70">
        <f>SUBTOTAL(9,Y4:Y1012)</f>
        <v>912.05299999999988</v>
      </c>
      <c r="Z2" s="69"/>
      <c r="AA2" s="69"/>
      <c r="AB2" s="69"/>
      <c r="AC2" s="71">
        <f>SUBTOTAL(9,AC4:AC1012)</f>
        <v>305601.33500000008</v>
      </c>
      <c r="AD2" s="71">
        <f>SUBTOTAL(9,AD4:AD1012)</f>
        <v>30560.1335</v>
      </c>
      <c r="AE2" s="71"/>
      <c r="AF2" s="72">
        <f>SUBTOTAL(9,AF4:AF1012)</f>
        <v>273930.03584010142</v>
      </c>
    </row>
    <row r="3" spans="1:32" ht="15" customHeight="1" x14ac:dyDescent="0.2">
      <c r="A3" s="42" t="s">
        <v>38</v>
      </c>
      <c r="B3" s="42" t="s">
        <v>0</v>
      </c>
      <c r="C3" s="11" t="s">
        <v>17</v>
      </c>
      <c r="D3" s="10" t="s">
        <v>1</v>
      </c>
      <c r="E3" s="10" t="s">
        <v>2</v>
      </c>
      <c r="F3" s="11" t="s">
        <v>8</v>
      </c>
      <c r="G3" s="11" t="s">
        <v>4</v>
      </c>
      <c r="H3" s="10" t="s">
        <v>3</v>
      </c>
      <c r="I3" s="10" t="s">
        <v>42</v>
      </c>
      <c r="J3" s="10" t="s">
        <v>9</v>
      </c>
      <c r="K3" s="12" t="s">
        <v>10</v>
      </c>
      <c r="L3" s="12" t="s">
        <v>11</v>
      </c>
      <c r="M3" s="13" t="s">
        <v>12</v>
      </c>
      <c r="N3" s="9" t="s">
        <v>13</v>
      </c>
      <c r="O3" s="40" t="s">
        <v>28</v>
      </c>
      <c r="P3" s="40" t="s">
        <v>29</v>
      </c>
      <c r="Q3" s="43" t="s">
        <v>27</v>
      </c>
      <c r="R3" s="43" t="s">
        <v>112</v>
      </c>
      <c r="S3" s="43" t="s">
        <v>115</v>
      </c>
      <c r="T3" s="40" t="s">
        <v>30</v>
      </c>
      <c r="U3" s="40" t="s">
        <v>31</v>
      </c>
      <c r="V3" s="41" t="s">
        <v>26</v>
      </c>
      <c r="W3" s="46" t="s">
        <v>18</v>
      </c>
      <c r="X3" s="46" t="s">
        <v>19</v>
      </c>
      <c r="Y3" s="45" t="s">
        <v>36</v>
      </c>
      <c r="Z3" s="47" t="s">
        <v>20</v>
      </c>
      <c r="AA3" s="47" t="s">
        <v>41</v>
      </c>
      <c r="AB3" s="47" t="s">
        <v>21</v>
      </c>
      <c r="AC3" s="47" t="s">
        <v>22</v>
      </c>
      <c r="AD3" s="45" t="s">
        <v>14</v>
      </c>
      <c r="AE3" s="47" t="s">
        <v>15</v>
      </c>
      <c r="AF3" s="48" t="s">
        <v>16</v>
      </c>
    </row>
    <row r="4" spans="1:32" ht="15" customHeight="1" x14ac:dyDescent="0.2">
      <c r="A4" s="1" t="s">
        <v>39</v>
      </c>
      <c r="B4" s="1">
        <v>2024</v>
      </c>
      <c r="C4" s="3">
        <v>45643</v>
      </c>
      <c r="D4" s="1" t="s">
        <v>45</v>
      </c>
      <c r="E4" s="1" t="s">
        <v>53</v>
      </c>
      <c r="F4" s="3">
        <v>45644</v>
      </c>
      <c r="G4" s="3">
        <v>45708</v>
      </c>
      <c r="H4" s="3" t="s">
        <v>113</v>
      </c>
      <c r="I4" s="7" t="s">
        <v>44</v>
      </c>
      <c r="J4" s="5" t="s">
        <v>61</v>
      </c>
      <c r="K4" s="6">
        <v>7</v>
      </c>
      <c r="L4" s="6">
        <v>75.349999999999994</v>
      </c>
      <c r="M4" s="7">
        <v>18.98</v>
      </c>
      <c r="N4" s="1">
        <v>76</v>
      </c>
      <c r="O4" s="37">
        <v>3</v>
      </c>
      <c r="P4" s="37">
        <v>5</v>
      </c>
      <c r="Q4" s="44">
        <v>17.38</v>
      </c>
      <c r="R4" s="59">
        <v>8.8202057894736843</v>
      </c>
      <c r="S4" s="59">
        <f>Table1[[#This Row],[GROSS VOL]]/Table1[[#This Row],[PCS]]*35.315</f>
        <v>8.8194565789473689</v>
      </c>
      <c r="T4" s="38">
        <v>300</v>
      </c>
      <c r="U4" s="38">
        <v>390</v>
      </c>
      <c r="V4" s="79">
        <f>Table1[[#This Row],[Purchase Volume]]*Table1[[#This Row],[Purchase Price]]</f>
        <v>6778.2</v>
      </c>
      <c r="W4" s="50">
        <v>3</v>
      </c>
      <c r="X4" s="50">
        <v>5</v>
      </c>
      <c r="Y4" s="49">
        <v>17.38</v>
      </c>
      <c r="Z4" s="51">
        <v>330</v>
      </c>
      <c r="AA4" s="51">
        <f>Table1[[#This Row],[BASE PRICE]]-Table1[[#This Row],[P Base Price]]</f>
        <v>30</v>
      </c>
      <c r="AB4" s="52">
        <v>420</v>
      </c>
      <c r="AC4" s="52">
        <f>Table1[[#This Row],[SALES VOL]]*Table1[[#This Row],[SALES PRICE]]</f>
        <v>7299.5999999999995</v>
      </c>
      <c r="AD4" s="53">
        <f>Table1[[#This Row],[SALES VALUE]]*10%</f>
        <v>729.96</v>
      </c>
      <c r="AE4" s="52">
        <v>318.21011917206772</v>
      </c>
      <c r="AF4" s="53">
        <f>Table1[[#This Row],[SALES VOL]]*Table1[[#This Row],[INV. PRICE]]</f>
        <v>5530.4918712105364</v>
      </c>
    </row>
    <row r="5" spans="1:32" ht="15" customHeight="1" x14ac:dyDescent="0.2">
      <c r="A5" s="1" t="s">
        <v>39</v>
      </c>
      <c r="B5" s="1">
        <v>2024</v>
      </c>
      <c r="C5" s="3">
        <v>45643</v>
      </c>
      <c r="D5" s="1" t="s">
        <v>45</v>
      </c>
      <c r="E5" s="1" t="s">
        <v>53</v>
      </c>
      <c r="F5" s="3">
        <v>45644</v>
      </c>
      <c r="G5" s="3">
        <v>45708</v>
      </c>
      <c r="H5" s="3" t="s">
        <v>113</v>
      </c>
      <c r="I5" s="7" t="s">
        <v>43</v>
      </c>
      <c r="J5" s="5" t="s">
        <v>62</v>
      </c>
      <c r="K5" s="6">
        <v>2.25</v>
      </c>
      <c r="L5" s="6">
        <v>63.58</v>
      </c>
      <c r="M5" s="7">
        <v>21.99</v>
      </c>
      <c r="N5" s="1">
        <v>386</v>
      </c>
      <c r="O5" s="37">
        <v>3</v>
      </c>
      <c r="P5" s="37">
        <v>5</v>
      </c>
      <c r="Q5" s="44">
        <v>19.52</v>
      </c>
      <c r="R5" s="59">
        <v>2.0120280310880827</v>
      </c>
      <c r="S5" s="59">
        <f>Table1[[#This Row],[GROSS VOL]]/Table1[[#This Row],[PCS]]*35.315</f>
        <v>2.0118571243523315</v>
      </c>
      <c r="T5" s="38">
        <v>245</v>
      </c>
      <c r="U5" s="38">
        <v>245</v>
      </c>
      <c r="V5" s="44">
        <f>Table1[[#This Row],[Purchase Volume]]*Table1[[#This Row],[Purchase Price]]</f>
        <v>4782.3999999999996</v>
      </c>
      <c r="W5" s="50">
        <v>3</v>
      </c>
      <c r="X5" s="50">
        <v>5</v>
      </c>
      <c r="Y5" s="49">
        <v>19.52</v>
      </c>
      <c r="Z5" s="51">
        <v>280</v>
      </c>
      <c r="AA5" s="51">
        <f>Table1[[#This Row],[BASE PRICE]]-Table1[[#This Row],[P Base Price]]</f>
        <v>35</v>
      </c>
      <c r="AB5" s="52">
        <v>280</v>
      </c>
      <c r="AC5" s="52">
        <f>Table1[[#This Row],[SALES VOL]]*Table1[[#This Row],[SALES PRICE]]</f>
        <v>5465.5999999999995</v>
      </c>
      <c r="AD5" s="53">
        <f>Table1[[#This Row],[SALES VALUE]]*10%</f>
        <v>546.55999999999995</v>
      </c>
      <c r="AE5" s="52">
        <v>318.21011917206772</v>
      </c>
      <c r="AF5" s="53">
        <f>Table1[[#This Row],[SALES VOL]]*Table1[[#This Row],[INV. PRICE]]</f>
        <v>6211.4615262387615</v>
      </c>
    </row>
    <row r="6" spans="1:32" ht="15" customHeight="1" x14ac:dyDescent="0.2">
      <c r="A6" s="1" t="s">
        <v>39</v>
      </c>
      <c r="B6" s="1">
        <v>2024</v>
      </c>
      <c r="C6" s="3">
        <v>45643</v>
      </c>
      <c r="D6" s="1" t="s">
        <v>45</v>
      </c>
      <c r="E6" s="1" t="s">
        <v>53</v>
      </c>
      <c r="F6" s="3">
        <v>45644</v>
      </c>
      <c r="G6" s="3">
        <v>45708</v>
      </c>
      <c r="H6" s="3" t="s">
        <v>113</v>
      </c>
      <c r="I6" s="7" t="s">
        <v>43</v>
      </c>
      <c r="J6" s="5" t="s">
        <v>63</v>
      </c>
      <c r="K6" s="6">
        <v>2.25</v>
      </c>
      <c r="L6" s="6">
        <v>77.239999999999995</v>
      </c>
      <c r="M6" s="7">
        <v>21.64</v>
      </c>
      <c r="N6" s="1">
        <v>256</v>
      </c>
      <c r="O6" s="37">
        <v>3</v>
      </c>
      <c r="P6" s="37">
        <v>5</v>
      </c>
      <c r="Q6" s="44">
        <v>19.559999999999999</v>
      </c>
      <c r="R6" s="59">
        <v>2.9854746875</v>
      </c>
      <c r="S6" s="59">
        <f>Table1[[#This Row],[GROSS VOL]]/Table1[[#This Row],[PCS]]*35.315</f>
        <v>2.9852210937499999</v>
      </c>
      <c r="T6" s="38">
        <v>245</v>
      </c>
      <c r="U6" s="38">
        <v>290</v>
      </c>
      <c r="V6" s="59">
        <f>Table1[[#This Row],[Purchase Volume]]*Table1[[#This Row],[Purchase Price]]</f>
        <v>5672.4</v>
      </c>
      <c r="W6" s="50">
        <v>3</v>
      </c>
      <c r="X6" s="50">
        <v>5</v>
      </c>
      <c r="Y6" s="49">
        <v>19.559999999999999</v>
      </c>
      <c r="Z6" s="51">
        <v>280</v>
      </c>
      <c r="AA6" s="51">
        <f>Table1[[#This Row],[BASE PRICE]]-Table1[[#This Row],[P Base Price]]</f>
        <v>35</v>
      </c>
      <c r="AB6" s="52">
        <v>325</v>
      </c>
      <c r="AC6" s="52">
        <f>Table1[[#This Row],[SALES VOL]]*Table1[[#This Row],[SALES PRICE]]</f>
        <v>6357</v>
      </c>
      <c r="AD6" s="53">
        <f>Table1[[#This Row],[SALES VALUE]]*10%</f>
        <v>635.70000000000005</v>
      </c>
      <c r="AE6" s="52">
        <v>318.21011917206772</v>
      </c>
      <c r="AF6" s="53">
        <f>Table1[[#This Row],[SALES VOL]]*Table1[[#This Row],[INV. PRICE]]</f>
        <v>6224.1899310056442</v>
      </c>
    </row>
    <row r="7" spans="1:32" ht="15" customHeight="1" x14ac:dyDescent="0.2">
      <c r="A7" s="1" t="s">
        <v>39</v>
      </c>
      <c r="B7" s="1">
        <v>2024</v>
      </c>
      <c r="C7" s="3">
        <v>45643</v>
      </c>
      <c r="D7" s="1" t="s">
        <v>45</v>
      </c>
      <c r="E7" s="1" t="s">
        <v>53</v>
      </c>
      <c r="F7" s="3">
        <v>45644</v>
      </c>
      <c r="G7" s="3">
        <v>45708</v>
      </c>
      <c r="H7" s="3" t="s">
        <v>113</v>
      </c>
      <c r="I7" s="7" t="s">
        <v>104</v>
      </c>
      <c r="J7" s="5" t="s">
        <v>64</v>
      </c>
      <c r="K7" s="6">
        <v>5.8</v>
      </c>
      <c r="L7" s="6">
        <v>71.5</v>
      </c>
      <c r="M7" s="7">
        <v>21.48</v>
      </c>
      <c r="N7" s="1">
        <v>115</v>
      </c>
      <c r="O7" s="37">
        <v>3</v>
      </c>
      <c r="P7" s="37">
        <v>5</v>
      </c>
      <c r="Q7" s="44">
        <v>19.559999999999999</v>
      </c>
      <c r="R7" s="59">
        <v>6.5967881739130441</v>
      </c>
      <c r="S7" s="59">
        <f>Table1[[#This Row],[GROSS VOL]]/Table1[[#This Row],[PCS]]*35.315</f>
        <v>6.5962278260869569</v>
      </c>
      <c r="T7" s="38">
        <v>285</v>
      </c>
      <c r="U7" s="38">
        <v>345</v>
      </c>
      <c r="V7" s="59">
        <f>Table1[[#This Row],[Purchase Volume]]*Table1[[#This Row],[Purchase Price]]</f>
        <v>6748.2</v>
      </c>
      <c r="W7" s="50">
        <v>3</v>
      </c>
      <c r="X7" s="50">
        <v>5</v>
      </c>
      <c r="Y7" s="49">
        <v>19.559999999999999</v>
      </c>
      <c r="Z7" s="51">
        <v>315</v>
      </c>
      <c r="AA7" s="51">
        <f>Table1[[#This Row],[BASE PRICE]]-Table1[[#This Row],[P Base Price]]</f>
        <v>30</v>
      </c>
      <c r="AB7" s="52">
        <v>375</v>
      </c>
      <c r="AC7" s="52">
        <f>Table1[[#This Row],[SALES VOL]]*Table1[[#This Row],[SALES PRICE]]</f>
        <v>7334.9999999999991</v>
      </c>
      <c r="AD7" s="53">
        <f>Table1[[#This Row],[SALES VALUE]]*10%</f>
        <v>733.5</v>
      </c>
      <c r="AE7" s="52">
        <v>318.21011917206772</v>
      </c>
      <c r="AF7" s="53">
        <f>Table1[[#This Row],[SALES VOL]]*Table1[[#This Row],[INV. PRICE]]</f>
        <v>6224.1899310056442</v>
      </c>
    </row>
    <row r="8" spans="1:32" ht="15" customHeight="1" x14ac:dyDescent="0.2">
      <c r="A8" s="1" t="s">
        <v>39</v>
      </c>
      <c r="B8" s="1">
        <v>2024</v>
      </c>
      <c r="C8" s="8">
        <v>45643</v>
      </c>
      <c r="D8" s="1" t="s">
        <v>45</v>
      </c>
      <c r="E8" s="1" t="s">
        <v>53</v>
      </c>
      <c r="F8" s="3">
        <v>45644</v>
      </c>
      <c r="G8" s="3">
        <v>45708</v>
      </c>
      <c r="H8" s="3" t="s">
        <v>113</v>
      </c>
      <c r="I8" s="7" t="s">
        <v>104</v>
      </c>
      <c r="J8" s="5" t="s">
        <v>65</v>
      </c>
      <c r="K8" s="6">
        <v>5.8</v>
      </c>
      <c r="L8" s="6">
        <v>72</v>
      </c>
      <c r="M8" s="7">
        <v>21.54</v>
      </c>
      <c r="N8" s="1">
        <v>113</v>
      </c>
      <c r="O8" s="37">
        <v>3</v>
      </c>
      <c r="P8" s="37">
        <v>5</v>
      </c>
      <c r="Q8" s="44">
        <v>19.64</v>
      </c>
      <c r="R8" s="59">
        <v>6.7322984070796457</v>
      </c>
      <c r="S8" s="59">
        <f>Table1[[#This Row],[GROSS VOL]]/Table1[[#This Row],[PCS]]*35.315</f>
        <v>6.7317265486725653</v>
      </c>
      <c r="T8" s="38">
        <v>285</v>
      </c>
      <c r="U8" s="38">
        <v>345</v>
      </c>
      <c r="V8" s="59">
        <f>Table1[[#This Row],[Purchase Volume]]*Table1[[#This Row],[Purchase Price]]</f>
        <v>6775.8</v>
      </c>
      <c r="W8" s="50">
        <v>3</v>
      </c>
      <c r="X8" s="50">
        <v>5</v>
      </c>
      <c r="Y8" s="49">
        <v>19.64</v>
      </c>
      <c r="Z8" s="51">
        <v>315</v>
      </c>
      <c r="AA8" s="51">
        <f>Table1[[#This Row],[BASE PRICE]]-Table1[[#This Row],[P Base Price]]</f>
        <v>30</v>
      </c>
      <c r="AB8" s="52">
        <v>375</v>
      </c>
      <c r="AC8" s="52">
        <f>Table1[[#This Row],[SALES VOL]]*Table1[[#This Row],[SALES PRICE]]</f>
        <v>7365</v>
      </c>
      <c r="AD8" s="53">
        <f>Table1[[#This Row],[SALES VALUE]]*10%</f>
        <v>736.5</v>
      </c>
      <c r="AE8" s="52">
        <v>318.21011917206772</v>
      </c>
      <c r="AF8" s="53">
        <f>Table1[[#This Row],[SALES VOL]]*Table1[[#This Row],[INV. PRICE]]</f>
        <v>6249.6467405394105</v>
      </c>
    </row>
    <row r="9" spans="1:32" ht="15" customHeight="1" x14ac:dyDescent="0.2">
      <c r="A9" s="1"/>
      <c r="B9" s="1"/>
      <c r="C9" s="8"/>
      <c r="D9" s="1"/>
      <c r="E9" s="1"/>
      <c r="F9" s="3"/>
      <c r="G9" s="3"/>
      <c r="H9" s="3"/>
      <c r="I9" s="7"/>
      <c r="J9" s="5"/>
      <c r="K9" s="6"/>
      <c r="L9" s="6"/>
      <c r="M9" s="7"/>
      <c r="N9" s="1"/>
      <c r="O9" s="37"/>
      <c r="P9" s="37"/>
      <c r="Q9" s="44"/>
      <c r="R9" s="59"/>
      <c r="S9" s="59"/>
      <c r="T9" s="38"/>
      <c r="U9" s="38"/>
      <c r="V9" s="39"/>
      <c r="W9" s="50"/>
      <c r="X9" s="50"/>
      <c r="Y9" s="49"/>
      <c r="Z9" s="51"/>
      <c r="AA9" s="51"/>
      <c r="AB9" s="52"/>
      <c r="AC9" s="52"/>
      <c r="AD9" s="53"/>
      <c r="AE9" s="52"/>
      <c r="AF9" s="53"/>
    </row>
    <row r="10" spans="1:32" ht="15" customHeight="1" x14ac:dyDescent="0.2">
      <c r="A10" s="1" t="s">
        <v>39</v>
      </c>
      <c r="B10" s="1">
        <v>2024</v>
      </c>
      <c r="C10" s="3">
        <v>45655</v>
      </c>
      <c r="D10" s="1" t="s">
        <v>46</v>
      </c>
      <c r="E10" s="1" t="s">
        <v>54</v>
      </c>
      <c r="F10" s="3">
        <v>45665</v>
      </c>
      <c r="G10" s="3">
        <v>45718</v>
      </c>
      <c r="H10" s="3" t="s">
        <v>113</v>
      </c>
      <c r="I10" s="7" t="s">
        <v>43</v>
      </c>
      <c r="J10" s="5" t="s">
        <v>66</v>
      </c>
      <c r="K10" s="6">
        <v>2.25</v>
      </c>
      <c r="L10" s="6">
        <v>67.16</v>
      </c>
      <c r="M10" s="7">
        <v>22.24</v>
      </c>
      <c r="N10" s="1">
        <v>349</v>
      </c>
      <c r="O10" s="37">
        <v>3</v>
      </c>
      <c r="P10" s="37">
        <v>5</v>
      </c>
      <c r="Q10" s="44">
        <v>19.850000000000001</v>
      </c>
      <c r="R10" s="59">
        <v>2.25</v>
      </c>
      <c r="S10" s="59">
        <f>Table1[[#This Row],[GROSS VOL]]/Table1[[#This Row],[PCS]]*35.315</f>
        <v>2.250445845272206</v>
      </c>
      <c r="T10" s="38">
        <v>245</v>
      </c>
      <c r="U10" s="38">
        <v>260</v>
      </c>
      <c r="V10" s="59">
        <f>Table1[[#This Row],[Purchase Volume]]*Table1[[#This Row],[Purchase Price]]</f>
        <v>5161</v>
      </c>
      <c r="W10" s="50">
        <v>3</v>
      </c>
      <c r="X10" s="50">
        <v>5</v>
      </c>
      <c r="Y10" s="49">
        <v>19.850000000000001</v>
      </c>
      <c r="Z10" s="51">
        <v>280</v>
      </c>
      <c r="AA10" s="51">
        <f>Table1[[#This Row],[BASE PRICE]]-Table1[[#This Row],[P Base Price]]</f>
        <v>35</v>
      </c>
      <c r="AB10" s="52">
        <v>295</v>
      </c>
      <c r="AC10" s="52">
        <f>Table1[[#This Row],[SALES VOL]]*Table1[[#This Row],[SALES PRICE]]</f>
        <v>5855.75</v>
      </c>
      <c r="AD10" s="53">
        <f>Table1[[#This Row],[SALES VALUE]]*10%</f>
        <v>585.57500000000005</v>
      </c>
      <c r="AE10" s="52">
        <v>296.07335025380712</v>
      </c>
      <c r="AF10" s="53">
        <f>Table1[[#This Row],[SALES VOL]]*Table1[[#This Row],[INV. PRICE]]</f>
        <v>5877.0560025380719</v>
      </c>
    </row>
    <row r="11" spans="1:32" ht="15" customHeight="1" x14ac:dyDescent="0.2">
      <c r="A11" s="1" t="s">
        <v>39</v>
      </c>
      <c r="B11" s="1">
        <v>2024</v>
      </c>
      <c r="C11" s="3">
        <v>45655</v>
      </c>
      <c r="D11" s="1" t="s">
        <v>46</v>
      </c>
      <c r="E11" s="1" t="s">
        <v>54</v>
      </c>
      <c r="F11" s="3">
        <v>45665</v>
      </c>
      <c r="G11" s="3">
        <v>45718</v>
      </c>
      <c r="H11" s="3" t="s">
        <v>113</v>
      </c>
      <c r="I11" s="7" t="s">
        <v>43</v>
      </c>
      <c r="J11" s="5" t="s">
        <v>67</v>
      </c>
      <c r="K11" s="6">
        <v>2.25</v>
      </c>
      <c r="L11" s="6">
        <v>75.16</v>
      </c>
      <c r="M11" s="7">
        <v>21.76</v>
      </c>
      <c r="N11" s="1">
        <v>273</v>
      </c>
      <c r="O11" s="37">
        <v>3</v>
      </c>
      <c r="P11" s="37">
        <v>5</v>
      </c>
      <c r="Q11" s="44">
        <v>19.61</v>
      </c>
      <c r="R11" s="59">
        <v>2.81</v>
      </c>
      <c r="S11" s="59">
        <f>Table1[[#This Row],[GROSS VOL]]/Table1[[#This Row],[PCS]]*35.315</f>
        <v>2.8148512820512819</v>
      </c>
      <c r="T11" s="38">
        <v>245</v>
      </c>
      <c r="U11" s="38">
        <v>290</v>
      </c>
      <c r="V11" s="59">
        <f>Table1[[#This Row],[Purchase Volume]]*Table1[[#This Row],[Purchase Price]]</f>
        <v>5686.9</v>
      </c>
      <c r="W11" s="50">
        <v>3</v>
      </c>
      <c r="X11" s="50">
        <v>5</v>
      </c>
      <c r="Y11" s="49">
        <v>19.61</v>
      </c>
      <c r="Z11" s="51">
        <v>280</v>
      </c>
      <c r="AA11" s="51">
        <f>Table1[[#This Row],[BASE PRICE]]-Table1[[#This Row],[P Base Price]]</f>
        <v>35</v>
      </c>
      <c r="AB11" s="52">
        <v>325</v>
      </c>
      <c r="AC11" s="52">
        <f>Table1[[#This Row],[SALES VOL]]*Table1[[#This Row],[SALES PRICE]]</f>
        <v>6373.25</v>
      </c>
      <c r="AD11" s="53">
        <f>Table1[[#This Row],[SALES VALUE]]*10%</f>
        <v>637.32500000000005</v>
      </c>
      <c r="AE11" s="52">
        <v>296.07335025380712</v>
      </c>
      <c r="AF11" s="53">
        <f>Table1[[#This Row],[SALES VOL]]*Table1[[#This Row],[INV. PRICE]]</f>
        <v>5805.998398477157</v>
      </c>
    </row>
    <row r="12" spans="1:32" ht="15" customHeight="1" x14ac:dyDescent="0.2">
      <c r="A12" s="1" t="s">
        <v>39</v>
      </c>
      <c r="B12" s="1">
        <v>2024</v>
      </c>
      <c r="C12" s="3">
        <v>45655</v>
      </c>
      <c r="D12" s="2" t="s">
        <v>46</v>
      </c>
      <c r="E12" s="4" t="s">
        <v>54</v>
      </c>
      <c r="F12" s="3">
        <v>45665</v>
      </c>
      <c r="G12" s="3">
        <v>45718</v>
      </c>
      <c r="H12" s="3" t="s">
        <v>113</v>
      </c>
      <c r="I12" s="7" t="s">
        <v>43</v>
      </c>
      <c r="J12" s="5" t="s">
        <v>68</v>
      </c>
      <c r="K12" s="6">
        <v>2.25</v>
      </c>
      <c r="L12" s="6">
        <v>84.28</v>
      </c>
      <c r="M12" s="7">
        <v>21.97</v>
      </c>
      <c r="N12" s="1">
        <v>218</v>
      </c>
      <c r="O12" s="37">
        <v>3</v>
      </c>
      <c r="P12" s="37">
        <v>5</v>
      </c>
      <c r="Q12" s="44">
        <v>19.989999999999998</v>
      </c>
      <c r="R12" s="59">
        <v>3.56</v>
      </c>
      <c r="S12" s="59">
        <f>Table1[[#This Row],[GROSS VOL]]/Table1[[#This Row],[PCS]]*35.315</f>
        <v>3.5590392201834855</v>
      </c>
      <c r="T12" s="38">
        <v>245</v>
      </c>
      <c r="U12" s="38">
        <v>335</v>
      </c>
      <c r="V12" s="59">
        <f>Table1[[#This Row],[Purchase Volume]]*Table1[[#This Row],[Purchase Price]]</f>
        <v>6696.65</v>
      </c>
      <c r="W12" s="50">
        <v>3</v>
      </c>
      <c r="X12" s="50">
        <v>5</v>
      </c>
      <c r="Y12" s="49">
        <v>19.989999999999998</v>
      </c>
      <c r="Z12" s="54">
        <v>280</v>
      </c>
      <c r="AA12" s="54">
        <f>Table1[[#This Row],[BASE PRICE]]-Table1[[#This Row],[P Base Price]]</f>
        <v>35</v>
      </c>
      <c r="AB12" s="52">
        <v>370</v>
      </c>
      <c r="AC12" s="52">
        <f>Table1[[#This Row],[SALES VOL]]*Table1[[#This Row],[SALES PRICE]]</f>
        <v>7396.2999999999993</v>
      </c>
      <c r="AD12" s="53">
        <f>Table1[[#This Row],[SALES VALUE]]*10%</f>
        <v>739.63</v>
      </c>
      <c r="AE12" s="52">
        <v>296.07335025380712</v>
      </c>
      <c r="AF12" s="53">
        <f>Table1[[#This Row],[SALES VOL]]*Table1[[#This Row],[INV. PRICE]]</f>
        <v>5918.506271573604</v>
      </c>
    </row>
    <row r="13" spans="1:32" ht="15" customHeight="1" x14ac:dyDescent="0.2">
      <c r="A13" s="1" t="s">
        <v>39</v>
      </c>
      <c r="B13" s="1">
        <v>2024</v>
      </c>
      <c r="C13" s="8">
        <v>45655</v>
      </c>
      <c r="D13" s="2" t="s">
        <v>46</v>
      </c>
      <c r="E13" s="1" t="s">
        <v>54</v>
      </c>
      <c r="F13" s="3">
        <v>45665</v>
      </c>
      <c r="G13" s="3">
        <v>45718</v>
      </c>
      <c r="H13" s="3" t="s">
        <v>113</v>
      </c>
      <c r="I13" s="7" t="s">
        <v>104</v>
      </c>
      <c r="J13" s="5" t="s">
        <v>69</v>
      </c>
      <c r="K13" s="6">
        <v>5.8</v>
      </c>
      <c r="L13" s="6">
        <v>73.52</v>
      </c>
      <c r="M13" s="7">
        <v>14.61</v>
      </c>
      <c r="N13" s="1">
        <v>74</v>
      </c>
      <c r="O13" s="37">
        <v>3</v>
      </c>
      <c r="P13" s="37">
        <v>5</v>
      </c>
      <c r="Q13" s="44">
        <v>13.34</v>
      </c>
      <c r="R13" s="59">
        <v>6.97</v>
      </c>
      <c r="S13" s="59">
        <f>Table1[[#This Row],[GROSS VOL]]/Table1[[#This Row],[PCS]]*35.315</f>
        <v>6.9723263513513505</v>
      </c>
      <c r="T13" s="38">
        <v>285</v>
      </c>
      <c r="U13" s="38">
        <v>345</v>
      </c>
      <c r="V13" s="59">
        <f>Table1[[#This Row],[Purchase Volume]]*Table1[[#This Row],[Purchase Price]]</f>
        <v>4602.3</v>
      </c>
      <c r="W13" s="50">
        <v>3</v>
      </c>
      <c r="X13" s="50">
        <v>5</v>
      </c>
      <c r="Y13" s="49">
        <v>13.34</v>
      </c>
      <c r="Z13" s="51">
        <v>315</v>
      </c>
      <c r="AA13" s="51">
        <f>Table1[[#This Row],[BASE PRICE]]-Table1[[#This Row],[P Base Price]]</f>
        <v>30</v>
      </c>
      <c r="AB13" s="52">
        <v>375</v>
      </c>
      <c r="AC13" s="52">
        <f>Table1[[#This Row],[SALES VOL]]*Table1[[#This Row],[SALES PRICE]]</f>
        <v>5002.5</v>
      </c>
      <c r="AD13" s="53">
        <f>Table1[[#This Row],[SALES VALUE]]*10%</f>
        <v>500.25</v>
      </c>
      <c r="AE13" s="52">
        <v>296.07335025380712</v>
      </c>
      <c r="AF13" s="53">
        <f>Table1[[#This Row],[SALES VOL]]*Table1[[#This Row],[INV. PRICE]]</f>
        <v>3949.6184923857868</v>
      </c>
    </row>
    <row r="14" spans="1:32" ht="15" customHeight="1" x14ac:dyDescent="0.2">
      <c r="A14" s="1" t="s">
        <v>39</v>
      </c>
      <c r="B14" s="1">
        <v>2024</v>
      </c>
      <c r="C14" s="3">
        <v>45655</v>
      </c>
      <c r="D14" s="2" t="s">
        <v>46</v>
      </c>
      <c r="E14" s="4" t="s">
        <v>54</v>
      </c>
      <c r="F14" s="3">
        <v>45665</v>
      </c>
      <c r="G14" s="3">
        <v>45718</v>
      </c>
      <c r="H14" s="3" t="s">
        <v>113</v>
      </c>
      <c r="I14" s="7" t="s">
        <v>44</v>
      </c>
      <c r="J14" s="5"/>
      <c r="K14" s="6">
        <v>7</v>
      </c>
      <c r="L14" s="6">
        <v>72.900000000000006</v>
      </c>
      <c r="M14" s="7">
        <v>7.05</v>
      </c>
      <c r="N14" s="1">
        <v>30</v>
      </c>
      <c r="O14" s="37">
        <v>3</v>
      </c>
      <c r="P14" s="37">
        <v>5</v>
      </c>
      <c r="Q14" s="44">
        <v>6.44</v>
      </c>
      <c r="R14" s="59">
        <v>8.3000000000000007</v>
      </c>
      <c r="S14" s="59">
        <f>Table1[[#This Row],[GROSS VOL]]/Table1[[#This Row],[PCS]]*35.315</f>
        <v>8.2990249999999985</v>
      </c>
      <c r="T14" s="38">
        <v>300</v>
      </c>
      <c r="U14" s="38">
        <v>360</v>
      </c>
      <c r="V14" s="59">
        <f>Table1[[#This Row],[Purchase Volume]]*Table1[[#This Row],[Purchase Price]]</f>
        <v>2318.4</v>
      </c>
      <c r="W14" s="50">
        <v>3</v>
      </c>
      <c r="X14" s="50">
        <v>5</v>
      </c>
      <c r="Y14" s="49">
        <v>6.44</v>
      </c>
      <c r="Z14" s="54">
        <v>330</v>
      </c>
      <c r="AA14" s="54">
        <f>Table1[[#This Row],[BASE PRICE]]-Table1[[#This Row],[P Base Price]]</f>
        <v>30</v>
      </c>
      <c r="AB14" s="52">
        <v>390</v>
      </c>
      <c r="AC14" s="52">
        <f>Table1[[#This Row],[SALES VOL]]*Table1[[#This Row],[SALES PRICE]]</f>
        <v>2511.6000000000004</v>
      </c>
      <c r="AD14" s="53">
        <f>Table1[[#This Row],[SALES VALUE]]*10%</f>
        <v>251.16000000000005</v>
      </c>
      <c r="AE14" s="52">
        <v>296.07335025380712</v>
      </c>
      <c r="AF14" s="53">
        <f>Table1[[#This Row],[SALES VOL]]*Table1[[#This Row],[INV. PRICE]]</f>
        <v>1906.7123756345179</v>
      </c>
    </row>
    <row r="15" spans="1:32" ht="15" customHeight="1" x14ac:dyDescent="0.2">
      <c r="A15" s="1" t="s">
        <v>39</v>
      </c>
      <c r="B15" s="1">
        <v>2024</v>
      </c>
      <c r="C15" s="3">
        <v>45655</v>
      </c>
      <c r="D15" s="2" t="s">
        <v>46</v>
      </c>
      <c r="E15" s="4" t="s">
        <v>54</v>
      </c>
      <c r="F15" s="3">
        <v>45665</v>
      </c>
      <c r="G15" s="3">
        <v>45718</v>
      </c>
      <c r="H15" s="3" t="s">
        <v>113</v>
      </c>
      <c r="I15" s="7" t="s">
        <v>44</v>
      </c>
      <c r="J15" s="5"/>
      <c r="K15" s="6">
        <v>7</v>
      </c>
      <c r="L15" s="6">
        <v>75.28</v>
      </c>
      <c r="M15" s="7">
        <v>8.76</v>
      </c>
      <c r="N15" s="1">
        <v>35</v>
      </c>
      <c r="O15" s="37">
        <v>3</v>
      </c>
      <c r="P15" s="37">
        <v>5</v>
      </c>
      <c r="Q15" s="44">
        <v>8.02</v>
      </c>
      <c r="R15" s="59">
        <v>8.84</v>
      </c>
      <c r="S15" s="59">
        <f>Table1[[#This Row],[GROSS VOL]]/Table1[[#This Row],[PCS]]*35.315</f>
        <v>8.8388399999999994</v>
      </c>
      <c r="T15" s="38">
        <v>300</v>
      </c>
      <c r="U15" s="38">
        <v>390</v>
      </c>
      <c r="V15" s="59">
        <f>Table1[[#This Row],[Purchase Volume]]*Table1[[#This Row],[Purchase Price]]</f>
        <v>3127.7999999999997</v>
      </c>
      <c r="W15" s="50">
        <v>3</v>
      </c>
      <c r="X15" s="50">
        <v>5</v>
      </c>
      <c r="Y15" s="49">
        <v>8.02</v>
      </c>
      <c r="Z15" s="54">
        <v>330</v>
      </c>
      <c r="AA15" s="54">
        <f>Table1[[#This Row],[BASE PRICE]]-Table1[[#This Row],[P Base Price]]</f>
        <v>30</v>
      </c>
      <c r="AB15" s="52">
        <v>420</v>
      </c>
      <c r="AC15" s="52">
        <f>Table1[[#This Row],[SALES VOL]]*Table1[[#This Row],[SALES PRICE]]</f>
        <v>3368.3999999999996</v>
      </c>
      <c r="AD15" s="53">
        <f>Table1[[#This Row],[SALES VALUE]]*10%</f>
        <v>336.84</v>
      </c>
      <c r="AE15" s="52">
        <v>296.07335025380712</v>
      </c>
      <c r="AF15" s="53">
        <f>Table1[[#This Row],[SALES VOL]]*Table1[[#This Row],[INV. PRICE]]</f>
        <v>2374.508269035533</v>
      </c>
    </row>
    <row r="16" spans="1:32" ht="15" customHeight="1" x14ac:dyDescent="0.2">
      <c r="A16" s="1" t="s">
        <v>39</v>
      </c>
      <c r="B16" s="1">
        <v>2024</v>
      </c>
      <c r="C16" s="3">
        <v>45655</v>
      </c>
      <c r="D16" s="2" t="s">
        <v>46</v>
      </c>
      <c r="E16" s="4" t="s">
        <v>54</v>
      </c>
      <c r="F16" s="3">
        <v>45665</v>
      </c>
      <c r="G16" s="3">
        <v>45718</v>
      </c>
      <c r="H16" s="3" t="s">
        <v>113</v>
      </c>
      <c r="I16" s="7" t="s">
        <v>43</v>
      </c>
      <c r="J16" s="5" t="s">
        <v>70</v>
      </c>
      <c r="K16" s="6">
        <v>2.25</v>
      </c>
      <c r="L16" s="6">
        <v>66.53</v>
      </c>
      <c r="M16" s="7">
        <v>13.06</v>
      </c>
      <c r="N16" s="1">
        <v>209</v>
      </c>
      <c r="O16" s="37">
        <v>3</v>
      </c>
      <c r="P16" s="37">
        <v>5</v>
      </c>
      <c r="Q16" s="44">
        <v>11.65</v>
      </c>
      <c r="R16" s="59">
        <v>2.21</v>
      </c>
      <c r="S16" s="59">
        <f>Table1[[#This Row],[GROSS VOL]]/Table1[[#This Row],[PCS]]*35.315</f>
        <v>2.2067650717703349</v>
      </c>
      <c r="T16" s="38">
        <v>245</v>
      </c>
      <c r="U16" s="38">
        <v>245</v>
      </c>
      <c r="V16" s="59">
        <f>Table1[[#This Row],[Purchase Volume]]*Table1[[#This Row],[Purchase Price]]</f>
        <v>2854.25</v>
      </c>
      <c r="W16" s="50">
        <v>3</v>
      </c>
      <c r="X16" s="50">
        <v>5</v>
      </c>
      <c r="Y16" s="49">
        <v>11.65</v>
      </c>
      <c r="Z16" s="54">
        <v>280</v>
      </c>
      <c r="AA16" s="54">
        <f>Table1[[#This Row],[BASE PRICE]]-Table1[[#This Row],[P Base Price]]</f>
        <v>35</v>
      </c>
      <c r="AB16" s="52">
        <v>280</v>
      </c>
      <c r="AC16" s="52">
        <f>Table1[[#This Row],[SALES VOL]]*Table1[[#This Row],[SALES PRICE]]</f>
        <v>3262</v>
      </c>
      <c r="AD16" s="53">
        <f>Table1[[#This Row],[SALES VALUE]]*10%</f>
        <v>326.20000000000005</v>
      </c>
      <c r="AE16" s="52">
        <v>296.07335025380712</v>
      </c>
      <c r="AF16" s="53">
        <f>Table1[[#This Row],[SALES VOL]]*Table1[[#This Row],[INV. PRICE]]</f>
        <v>3449.254530456853</v>
      </c>
    </row>
    <row r="17" spans="1:32" ht="15" customHeight="1" x14ac:dyDescent="0.2">
      <c r="A17" s="1"/>
      <c r="B17" s="1"/>
      <c r="C17" s="8"/>
      <c r="D17" s="2"/>
      <c r="E17" s="1"/>
      <c r="F17" s="3"/>
      <c r="G17" s="3"/>
      <c r="H17" s="3"/>
      <c r="I17" s="7"/>
      <c r="J17" s="5"/>
      <c r="K17" s="6"/>
      <c r="L17" s="6"/>
      <c r="M17" s="7"/>
      <c r="N17" s="1"/>
      <c r="O17" s="37"/>
      <c r="P17" s="37"/>
      <c r="Q17" s="44"/>
      <c r="R17" s="59"/>
      <c r="S17" s="59"/>
      <c r="T17" s="38"/>
      <c r="U17" s="38"/>
      <c r="V17" s="39"/>
      <c r="W17" s="50"/>
      <c r="X17" s="50"/>
      <c r="Y17" s="49"/>
      <c r="Z17" s="51"/>
      <c r="AA17" s="51"/>
      <c r="AB17" s="52"/>
      <c r="AC17" s="52"/>
      <c r="AD17" s="53"/>
      <c r="AE17" s="52"/>
      <c r="AF17" s="53"/>
    </row>
    <row r="18" spans="1:32" ht="15" customHeight="1" x14ac:dyDescent="0.2">
      <c r="A18" s="1" t="s">
        <v>39</v>
      </c>
      <c r="B18" s="1">
        <v>2024</v>
      </c>
      <c r="C18" s="3">
        <v>45655</v>
      </c>
      <c r="D18" s="1" t="s">
        <v>47</v>
      </c>
      <c r="E18" s="1" t="s">
        <v>55</v>
      </c>
      <c r="F18" s="3">
        <v>45672</v>
      </c>
      <c r="G18" s="3">
        <v>45723</v>
      </c>
      <c r="H18" s="3" t="s">
        <v>113</v>
      </c>
      <c r="I18" s="7" t="s">
        <v>43</v>
      </c>
      <c r="J18" s="5" t="s">
        <v>72</v>
      </c>
      <c r="K18" s="6">
        <v>2.21</v>
      </c>
      <c r="L18" s="6">
        <v>65</v>
      </c>
      <c r="M18" s="7">
        <v>20.09</v>
      </c>
      <c r="N18" s="1">
        <v>327</v>
      </c>
      <c r="O18" s="37">
        <v>3</v>
      </c>
      <c r="P18" s="37">
        <v>5</v>
      </c>
      <c r="Q18" s="44">
        <v>17.91</v>
      </c>
      <c r="R18" s="59">
        <v>2.17</v>
      </c>
      <c r="S18" s="59">
        <f>Table1[[#This Row],[GROSS VOL]]/Table1[[#This Row],[PCS]]*35.315</f>
        <v>2.1696585626911316</v>
      </c>
      <c r="T18" s="38">
        <v>245</v>
      </c>
      <c r="U18" s="38">
        <v>280</v>
      </c>
      <c r="V18" s="39">
        <f>Table1[[#This Row],[Purchase Volume]]*Table1[[#This Row],[Purchase Price]]</f>
        <v>5014.8</v>
      </c>
      <c r="W18" s="50">
        <v>3</v>
      </c>
      <c r="X18" s="50">
        <v>5</v>
      </c>
      <c r="Y18" s="49">
        <v>17.91</v>
      </c>
      <c r="Z18" s="51">
        <v>280</v>
      </c>
      <c r="AA18" s="51">
        <f>Table1[[#This Row],[BASE PRICE]]-Table1[[#This Row],[P Base Price]]</f>
        <v>35</v>
      </c>
      <c r="AB18" s="52">
        <v>280</v>
      </c>
      <c r="AC18" s="52">
        <f>Table1[[#This Row],[SALES VOL]]*Table1[[#This Row],[SALES PRICE]]</f>
        <v>5014.8</v>
      </c>
      <c r="AD18" s="53">
        <f>Table1[[#This Row],[SALES VALUE]]*10%</f>
        <v>501.48</v>
      </c>
      <c r="AE18" s="52">
        <v>285.84640234292033</v>
      </c>
      <c r="AF18" s="53">
        <f>Table1[[#This Row],[SALES VOL]]*Table1[[#This Row],[INV. PRICE]]</f>
        <v>5119.5090659617035</v>
      </c>
    </row>
    <row r="19" spans="1:32" ht="15" customHeight="1" x14ac:dyDescent="0.2">
      <c r="A19" s="1" t="s">
        <v>39</v>
      </c>
      <c r="B19" s="1">
        <v>2024</v>
      </c>
      <c r="C19" s="3">
        <v>45655</v>
      </c>
      <c r="D19" s="1" t="s">
        <v>47</v>
      </c>
      <c r="E19" s="1" t="s">
        <v>55</v>
      </c>
      <c r="F19" s="3">
        <v>45672</v>
      </c>
      <c r="G19" s="3">
        <v>45723</v>
      </c>
      <c r="H19" s="3" t="s">
        <v>113</v>
      </c>
      <c r="I19" s="7" t="s">
        <v>43</v>
      </c>
      <c r="J19" s="5" t="s">
        <v>73</v>
      </c>
      <c r="K19" s="6">
        <v>2.1800000000000002</v>
      </c>
      <c r="L19" s="6">
        <v>62</v>
      </c>
      <c r="M19" s="7">
        <v>20.27</v>
      </c>
      <c r="N19" s="1">
        <v>365</v>
      </c>
      <c r="O19" s="37">
        <v>3</v>
      </c>
      <c r="P19" s="37">
        <v>5</v>
      </c>
      <c r="Q19" s="44">
        <v>17.97</v>
      </c>
      <c r="R19" s="59">
        <v>1.96</v>
      </c>
      <c r="S19" s="59">
        <f>Table1[[#This Row],[GROSS VOL]]/Table1[[#This Row],[PCS]]*35.315</f>
        <v>1.9611919178082189</v>
      </c>
      <c r="T19" s="38">
        <v>245</v>
      </c>
      <c r="U19" s="38">
        <v>265</v>
      </c>
      <c r="V19" s="39">
        <f>Table1[[#This Row],[Purchase Volume]]*Table1[[#This Row],[Purchase Price]]</f>
        <v>4762.0499999999993</v>
      </c>
      <c r="W19" s="50">
        <v>3</v>
      </c>
      <c r="X19" s="50">
        <v>5</v>
      </c>
      <c r="Y19" s="49">
        <v>17.97</v>
      </c>
      <c r="Z19" s="51">
        <v>280</v>
      </c>
      <c r="AA19" s="51">
        <f>Table1[[#This Row],[BASE PRICE]]-Table1[[#This Row],[P Base Price]]</f>
        <v>35</v>
      </c>
      <c r="AB19" s="52">
        <v>265</v>
      </c>
      <c r="AC19" s="52">
        <f>Table1[[#This Row],[SALES VOL]]*Table1[[#This Row],[SALES PRICE]]</f>
        <v>4762.0499999999993</v>
      </c>
      <c r="AD19" s="53">
        <f>Table1[[#This Row],[SALES VALUE]]*10%</f>
        <v>476.20499999999993</v>
      </c>
      <c r="AE19" s="52">
        <v>285.84640234292033</v>
      </c>
      <c r="AF19" s="53">
        <f>Table1[[#This Row],[SALES VOL]]*Table1[[#This Row],[INV. PRICE]]</f>
        <v>5136.6598501022781</v>
      </c>
    </row>
    <row r="20" spans="1:32" ht="15" customHeight="1" x14ac:dyDescent="0.2">
      <c r="A20" s="1" t="s">
        <v>39</v>
      </c>
      <c r="B20" s="1">
        <v>2024</v>
      </c>
      <c r="C20" s="3">
        <v>45655</v>
      </c>
      <c r="D20" s="1" t="s">
        <v>47</v>
      </c>
      <c r="E20" s="1" t="s">
        <v>55</v>
      </c>
      <c r="F20" s="3">
        <v>45672</v>
      </c>
      <c r="G20" s="3">
        <v>45723</v>
      </c>
      <c r="H20" s="3" t="s">
        <v>113</v>
      </c>
      <c r="I20" s="7" t="s">
        <v>43</v>
      </c>
      <c r="J20" s="5" t="s">
        <v>74</v>
      </c>
      <c r="K20" s="6">
        <v>2.17</v>
      </c>
      <c r="L20" s="6">
        <v>68</v>
      </c>
      <c r="M20" s="7">
        <v>19.600000000000001</v>
      </c>
      <c r="N20" s="1">
        <v>297</v>
      </c>
      <c r="O20" s="37">
        <v>3</v>
      </c>
      <c r="P20" s="37">
        <v>5</v>
      </c>
      <c r="Q20" s="44">
        <v>17.54</v>
      </c>
      <c r="R20" s="59">
        <v>2.33</v>
      </c>
      <c r="S20" s="59">
        <f>Table1[[#This Row],[GROSS VOL]]/Table1[[#This Row],[PCS]]*35.315</f>
        <v>2.3305521885521885</v>
      </c>
      <c r="T20" s="38">
        <v>245</v>
      </c>
      <c r="U20" s="38">
        <v>295</v>
      </c>
      <c r="V20" s="39">
        <f>Table1[[#This Row],[Purchase Volume]]*Table1[[#This Row],[Purchase Price]]</f>
        <v>5174.3</v>
      </c>
      <c r="W20" s="50">
        <v>3</v>
      </c>
      <c r="X20" s="50">
        <v>5</v>
      </c>
      <c r="Y20" s="49">
        <v>17.54</v>
      </c>
      <c r="Z20" s="51">
        <v>280</v>
      </c>
      <c r="AA20" s="51">
        <f>Table1[[#This Row],[BASE PRICE]]-Table1[[#This Row],[P Base Price]]</f>
        <v>35</v>
      </c>
      <c r="AB20" s="52">
        <v>295</v>
      </c>
      <c r="AC20" s="52">
        <f>Table1[[#This Row],[SALES VOL]]*Table1[[#This Row],[SALES PRICE]]</f>
        <v>5174.3</v>
      </c>
      <c r="AD20" s="53">
        <f>Table1[[#This Row],[SALES VALUE]]*10%</f>
        <v>517.43000000000006</v>
      </c>
      <c r="AE20" s="52">
        <v>285.84640234292033</v>
      </c>
      <c r="AF20" s="53">
        <f>Table1[[#This Row],[SALES VOL]]*Table1[[#This Row],[INV. PRICE]]</f>
        <v>5013.7458970948219</v>
      </c>
    </row>
    <row r="21" spans="1:32" ht="15" customHeight="1" x14ac:dyDescent="0.2">
      <c r="A21" s="1" t="s">
        <v>39</v>
      </c>
      <c r="B21" s="1">
        <v>2024</v>
      </c>
      <c r="C21" s="3">
        <v>45655</v>
      </c>
      <c r="D21" s="1" t="s">
        <v>47</v>
      </c>
      <c r="E21" s="1" t="s">
        <v>55</v>
      </c>
      <c r="F21" s="3">
        <v>45672</v>
      </c>
      <c r="G21" s="3">
        <v>45723</v>
      </c>
      <c r="H21" s="3" t="s">
        <v>113</v>
      </c>
      <c r="I21" s="7" t="s">
        <v>104</v>
      </c>
      <c r="J21" s="5" t="s">
        <v>75</v>
      </c>
      <c r="K21" s="6">
        <v>4.9400000000000004</v>
      </c>
      <c r="L21" s="6">
        <v>73</v>
      </c>
      <c r="M21" s="7">
        <v>19.84</v>
      </c>
      <c r="N21" s="1">
        <v>116</v>
      </c>
      <c r="O21" s="37">
        <v>3</v>
      </c>
      <c r="P21" s="37">
        <v>5</v>
      </c>
      <c r="Q21" s="44">
        <v>18.100000000000001</v>
      </c>
      <c r="R21" s="59">
        <v>6.04</v>
      </c>
      <c r="S21" s="59">
        <f>Table1[[#This Row],[GROSS VOL]]/Table1[[#This Row],[PCS]]*35.315</f>
        <v>6.0400827586206889</v>
      </c>
      <c r="T21" s="38">
        <v>285</v>
      </c>
      <c r="U21" s="38">
        <v>375</v>
      </c>
      <c r="V21" s="39">
        <f>Table1[[#This Row],[Purchase Volume]]*Table1[[#This Row],[Purchase Price]]</f>
        <v>6787.5000000000009</v>
      </c>
      <c r="W21" s="50">
        <v>3</v>
      </c>
      <c r="X21" s="50">
        <v>5</v>
      </c>
      <c r="Y21" s="49">
        <v>18.100000000000001</v>
      </c>
      <c r="Z21" s="51">
        <v>315</v>
      </c>
      <c r="AA21" s="51">
        <f>Table1[[#This Row],[BASE PRICE]]-Table1[[#This Row],[P Base Price]]</f>
        <v>30</v>
      </c>
      <c r="AB21" s="52">
        <v>375</v>
      </c>
      <c r="AC21" s="52">
        <f>Table1[[#This Row],[SALES VOL]]*Table1[[#This Row],[SALES PRICE]]</f>
        <v>6787.5000000000009</v>
      </c>
      <c r="AD21" s="53">
        <f>Table1[[#This Row],[SALES VALUE]]*10%</f>
        <v>678.75000000000011</v>
      </c>
      <c r="AE21" s="52">
        <v>285.84640234292033</v>
      </c>
      <c r="AF21" s="53">
        <f>Table1[[#This Row],[SALES VOL]]*Table1[[#This Row],[INV. PRICE]]</f>
        <v>5173.8198824068586</v>
      </c>
    </row>
    <row r="22" spans="1:32" ht="15" customHeight="1" x14ac:dyDescent="0.2">
      <c r="A22" s="1" t="s">
        <v>39</v>
      </c>
      <c r="B22" s="1">
        <v>2024</v>
      </c>
      <c r="C22" s="8">
        <v>45655</v>
      </c>
      <c r="D22" s="1" t="s">
        <v>47</v>
      </c>
      <c r="E22" s="1" t="s">
        <v>55</v>
      </c>
      <c r="F22" s="3">
        <v>45672</v>
      </c>
      <c r="G22" s="3">
        <v>45723</v>
      </c>
      <c r="H22" s="3" t="s">
        <v>113</v>
      </c>
      <c r="I22" s="7" t="s">
        <v>43</v>
      </c>
      <c r="J22" s="5" t="s">
        <v>76</v>
      </c>
      <c r="K22" s="6">
        <v>2.23</v>
      </c>
      <c r="L22" s="6">
        <v>63</v>
      </c>
      <c r="M22" s="7">
        <v>3.2930000000000006</v>
      </c>
      <c r="N22" s="1">
        <v>56</v>
      </c>
      <c r="O22" s="37">
        <v>3</v>
      </c>
      <c r="P22" s="37">
        <v>5</v>
      </c>
      <c r="Q22" s="44">
        <v>2.9290000000000003</v>
      </c>
      <c r="R22" s="59">
        <v>2.08</v>
      </c>
      <c r="S22" s="59">
        <f>Table1[[#This Row],[GROSS VOL]]/Table1[[#This Row],[PCS]]*35.315</f>
        <v>2.0766481250000002</v>
      </c>
      <c r="T22" s="38">
        <v>245</v>
      </c>
      <c r="U22" s="38">
        <v>280</v>
      </c>
      <c r="V22" s="39">
        <f>Table1[[#This Row],[Purchase Volume]]*Table1[[#This Row],[Purchase Price]]</f>
        <v>820.12000000000012</v>
      </c>
      <c r="W22" s="50">
        <v>3</v>
      </c>
      <c r="X22" s="50">
        <v>5</v>
      </c>
      <c r="Y22" s="49">
        <v>2.9290000000000003</v>
      </c>
      <c r="Z22" s="51">
        <v>280</v>
      </c>
      <c r="AA22" s="51">
        <f>Table1[[#This Row],[BASE PRICE]]-Table1[[#This Row],[P Base Price]]</f>
        <v>35</v>
      </c>
      <c r="AB22" s="52">
        <v>280</v>
      </c>
      <c r="AC22" s="52">
        <f>Table1[[#This Row],[SALES VOL]]*Table1[[#This Row],[SALES PRICE]]</f>
        <v>820.12000000000012</v>
      </c>
      <c r="AD22" s="53">
        <f>Table1[[#This Row],[SALES VALUE]]*10%</f>
        <v>82.012000000000015</v>
      </c>
      <c r="AE22" s="52">
        <v>285.84640234292033</v>
      </c>
      <c r="AF22" s="53">
        <f>Table1[[#This Row],[SALES VOL]]*Table1[[#This Row],[INV. PRICE]]</f>
        <v>837.24411246241368</v>
      </c>
    </row>
    <row r="23" spans="1:32" ht="15" customHeight="1" x14ac:dyDescent="0.2">
      <c r="A23" s="1" t="s">
        <v>39</v>
      </c>
      <c r="B23" s="1">
        <v>2024</v>
      </c>
      <c r="C23" s="3">
        <v>45655</v>
      </c>
      <c r="D23" s="1" t="s">
        <v>47</v>
      </c>
      <c r="E23" s="1" t="s">
        <v>55</v>
      </c>
      <c r="F23" s="3">
        <v>45672</v>
      </c>
      <c r="G23" s="3">
        <v>45723</v>
      </c>
      <c r="H23" s="3" t="s">
        <v>113</v>
      </c>
      <c r="I23" s="7" t="s">
        <v>44</v>
      </c>
      <c r="J23" s="5"/>
      <c r="K23" s="6">
        <v>7.33</v>
      </c>
      <c r="L23" s="6">
        <v>74</v>
      </c>
      <c r="M23" s="7">
        <v>16.380000000000003</v>
      </c>
      <c r="N23" s="1">
        <v>63</v>
      </c>
      <c r="O23" s="37">
        <v>3</v>
      </c>
      <c r="P23" s="37">
        <v>5</v>
      </c>
      <c r="Q23" s="44">
        <v>15.011999999999999</v>
      </c>
      <c r="R23" s="59">
        <v>9.18</v>
      </c>
      <c r="S23" s="59">
        <f>Table1[[#This Row],[GROSS VOL]]/Table1[[#This Row],[PCS]]*35.315</f>
        <v>9.1819000000000024</v>
      </c>
      <c r="T23" s="38">
        <v>300</v>
      </c>
      <c r="U23" s="38">
        <v>390</v>
      </c>
      <c r="V23" s="39">
        <f>Table1[[#This Row],[Purchase Volume]]*Table1[[#This Row],[Purchase Price]]</f>
        <v>5854.6799999999994</v>
      </c>
      <c r="W23" s="50">
        <v>3</v>
      </c>
      <c r="X23" s="50">
        <v>5</v>
      </c>
      <c r="Y23" s="49">
        <v>15.011999999999999</v>
      </c>
      <c r="Z23" s="51">
        <v>330</v>
      </c>
      <c r="AA23" s="51">
        <f>Table1[[#This Row],[BASE PRICE]]-Table1[[#This Row],[P Base Price]]</f>
        <v>30</v>
      </c>
      <c r="AB23" s="52">
        <v>390</v>
      </c>
      <c r="AC23" s="52">
        <f>Table1[[#This Row],[SALES VOL]]*Table1[[#This Row],[SALES PRICE]]</f>
        <v>5854.6799999999994</v>
      </c>
      <c r="AD23" s="53">
        <f>Table1[[#This Row],[SALES VALUE]]*10%</f>
        <v>585.46799999999996</v>
      </c>
      <c r="AE23" s="52">
        <v>285.84640234292033</v>
      </c>
      <c r="AF23" s="53">
        <f>Table1[[#This Row],[SALES VOL]]*Table1[[#This Row],[INV. PRICE]]</f>
        <v>4291.12619197192</v>
      </c>
    </row>
    <row r="24" spans="1:32" ht="15" customHeight="1" x14ac:dyDescent="0.2">
      <c r="A24" s="1"/>
      <c r="B24" s="1"/>
      <c r="C24" s="8"/>
      <c r="D24" s="1"/>
      <c r="E24" s="1"/>
      <c r="F24" s="3"/>
      <c r="G24" s="3"/>
      <c r="H24" s="3"/>
      <c r="I24" s="7"/>
      <c r="J24" s="5"/>
      <c r="K24" s="6"/>
      <c r="L24" s="6"/>
      <c r="M24" s="7"/>
      <c r="N24" s="1"/>
      <c r="O24" s="37"/>
      <c r="P24" s="37"/>
      <c r="Q24" s="44"/>
      <c r="R24" s="59"/>
      <c r="S24" s="59"/>
      <c r="T24" s="38"/>
      <c r="U24" s="38"/>
      <c r="V24" s="39"/>
      <c r="W24" s="50"/>
      <c r="X24" s="50"/>
      <c r="Y24" s="49"/>
      <c r="Z24" s="51"/>
      <c r="AA24" s="51"/>
      <c r="AB24" s="52"/>
      <c r="AC24" s="52"/>
      <c r="AD24" s="53"/>
      <c r="AE24" s="52"/>
      <c r="AF24" s="53"/>
    </row>
    <row r="25" spans="1:32" ht="15" customHeight="1" x14ac:dyDescent="0.2">
      <c r="A25" s="1" t="s">
        <v>39</v>
      </c>
      <c r="B25" s="1">
        <v>2025</v>
      </c>
      <c r="C25" s="3">
        <v>45669</v>
      </c>
      <c r="D25" s="1" t="s">
        <v>48</v>
      </c>
      <c r="E25" s="1" t="s">
        <v>56</v>
      </c>
      <c r="F25" s="3">
        <v>45672</v>
      </c>
      <c r="G25" s="3">
        <v>45723</v>
      </c>
      <c r="H25" s="3" t="s">
        <v>113</v>
      </c>
      <c r="I25" s="7" t="s">
        <v>44</v>
      </c>
      <c r="J25" s="5" t="s">
        <v>77</v>
      </c>
      <c r="K25" s="6">
        <v>8.34</v>
      </c>
      <c r="L25" s="6">
        <v>80</v>
      </c>
      <c r="M25" s="7">
        <v>19.675999999999998</v>
      </c>
      <c r="N25" s="1">
        <v>57</v>
      </c>
      <c r="O25" s="37">
        <v>3</v>
      </c>
      <c r="P25" s="37">
        <v>5</v>
      </c>
      <c r="Q25" s="44">
        <v>18.149999999999999</v>
      </c>
      <c r="R25" s="59">
        <v>12.19</v>
      </c>
      <c r="S25" s="59">
        <f>Table1[[#This Row],[GROSS VOL]]/Table1[[#This Row],[PCS]]*35.315</f>
        <v>12.190490175438596</v>
      </c>
      <c r="T25" s="38">
        <v>300</v>
      </c>
      <c r="U25" s="38">
        <v>405</v>
      </c>
      <c r="V25" s="39">
        <f>Table1[[#This Row],[Purchase Volume]]*Table1[[#This Row],[Purchase Price]]</f>
        <v>7350.7499999999991</v>
      </c>
      <c r="W25" s="50">
        <v>3</v>
      </c>
      <c r="X25" s="50">
        <v>5</v>
      </c>
      <c r="Y25" s="49">
        <v>18.149999999999999</v>
      </c>
      <c r="Z25" s="51">
        <v>330</v>
      </c>
      <c r="AA25" s="51">
        <f>Table1[[#This Row],[BASE PRICE]]-Table1[[#This Row],[P Base Price]]</f>
        <v>30</v>
      </c>
      <c r="AB25" s="52">
        <v>450</v>
      </c>
      <c r="AC25" s="52">
        <f>Table1[[#This Row],[SALES VOL]]*Table1[[#This Row],[SALES PRICE]]</f>
        <v>8167.4999999999991</v>
      </c>
      <c r="AD25" s="53">
        <f>Table1[[#This Row],[SALES VALUE]]*10%</f>
        <v>816.75</v>
      </c>
      <c r="AE25" s="52">
        <v>319.19359145527363</v>
      </c>
      <c r="AF25" s="53">
        <f>Table1[[#This Row],[SALES VOL]]*Table1[[#This Row],[INV. PRICE]]</f>
        <v>5793.3636849132163</v>
      </c>
    </row>
    <row r="26" spans="1:32" ht="15" customHeight="1" x14ac:dyDescent="0.2">
      <c r="A26" s="1" t="s">
        <v>39</v>
      </c>
      <c r="B26" s="1">
        <v>2025</v>
      </c>
      <c r="C26" s="3">
        <v>45669</v>
      </c>
      <c r="D26" s="1" t="s">
        <v>48</v>
      </c>
      <c r="E26" s="1" t="s">
        <v>56</v>
      </c>
      <c r="F26" s="3">
        <v>45672</v>
      </c>
      <c r="G26" s="3">
        <v>45723</v>
      </c>
      <c r="H26" s="3" t="s">
        <v>113</v>
      </c>
      <c r="I26" s="7" t="s">
        <v>43</v>
      </c>
      <c r="J26" s="5" t="s">
        <v>71</v>
      </c>
      <c r="K26" s="6">
        <v>2.25</v>
      </c>
      <c r="L26" s="6">
        <v>61.29</v>
      </c>
      <c r="M26" s="7">
        <v>21.79</v>
      </c>
      <c r="N26" s="1">
        <v>406</v>
      </c>
      <c r="O26" s="37">
        <v>3</v>
      </c>
      <c r="P26" s="37">
        <v>5</v>
      </c>
      <c r="Q26" s="44">
        <v>19.3</v>
      </c>
      <c r="R26" s="59">
        <v>1.9</v>
      </c>
      <c r="S26" s="59">
        <f>Table1[[#This Row],[GROSS VOL]]/Table1[[#This Row],[PCS]]*35.315</f>
        <v>1.8953543103448274</v>
      </c>
      <c r="T26" s="38">
        <v>245</v>
      </c>
      <c r="U26" s="38">
        <v>230</v>
      </c>
      <c r="V26" s="39">
        <f>Table1[[#This Row],[Purchase Volume]]*Table1[[#This Row],[Purchase Price]]</f>
        <v>4439</v>
      </c>
      <c r="W26" s="50">
        <v>3</v>
      </c>
      <c r="X26" s="50">
        <v>5</v>
      </c>
      <c r="Y26" s="49">
        <v>19.3</v>
      </c>
      <c r="Z26" s="51">
        <v>280</v>
      </c>
      <c r="AA26" s="51">
        <f>Table1[[#This Row],[BASE PRICE]]-Table1[[#This Row],[P Base Price]]</f>
        <v>35</v>
      </c>
      <c r="AB26" s="52">
        <v>265</v>
      </c>
      <c r="AC26" s="52">
        <f>Table1[[#This Row],[SALES VOL]]*Table1[[#This Row],[SALES PRICE]]</f>
        <v>5114.5</v>
      </c>
      <c r="AD26" s="53">
        <f>Table1[[#This Row],[SALES VALUE]]*10%</f>
        <v>511.45000000000005</v>
      </c>
      <c r="AE26" s="52">
        <v>319.19359145527363</v>
      </c>
      <c r="AF26" s="53">
        <f>Table1[[#This Row],[SALES VOL]]*Table1[[#This Row],[INV. PRICE]]</f>
        <v>6160.4363150867812</v>
      </c>
    </row>
    <row r="27" spans="1:32" ht="15" customHeight="1" x14ac:dyDescent="0.2">
      <c r="A27" s="1"/>
      <c r="B27" s="1"/>
      <c r="C27" s="8"/>
      <c r="D27" s="1"/>
      <c r="E27" s="1"/>
      <c r="F27" s="3"/>
      <c r="G27" s="3"/>
      <c r="H27" s="3"/>
      <c r="I27" s="7"/>
      <c r="J27" s="5"/>
      <c r="K27" s="6"/>
      <c r="L27" s="6"/>
      <c r="M27" s="7"/>
      <c r="N27" s="1"/>
      <c r="O27" s="37"/>
      <c r="P27" s="37"/>
      <c r="Q27" s="44"/>
      <c r="R27" s="59"/>
      <c r="S27" s="59"/>
      <c r="T27" s="38"/>
      <c r="U27" s="38"/>
      <c r="V27" s="39"/>
      <c r="W27" s="50"/>
      <c r="X27" s="50"/>
      <c r="Y27" s="49"/>
      <c r="Z27" s="51"/>
      <c r="AA27" s="51"/>
      <c r="AB27" s="52"/>
      <c r="AC27" s="52"/>
      <c r="AD27" s="53"/>
      <c r="AE27" s="52"/>
      <c r="AF27" s="53"/>
    </row>
    <row r="28" spans="1:32" ht="15" customHeight="1" x14ac:dyDescent="0.2">
      <c r="A28" s="1" t="s">
        <v>39</v>
      </c>
      <c r="B28" s="1">
        <v>2025</v>
      </c>
      <c r="C28" s="8">
        <v>45678</v>
      </c>
      <c r="D28" s="1" t="s">
        <v>49</v>
      </c>
      <c r="E28" s="1" t="s">
        <v>57</v>
      </c>
      <c r="F28" s="3">
        <v>45693</v>
      </c>
      <c r="G28" s="3">
        <v>45745</v>
      </c>
      <c r="H28" s="3" t="s">
        <v>113</v>
      </c>
      <c r="I28" s="7" t="s">
        <v>43</v>
      </c>
      <c r="J28" s="5" t="s">
        <v>78</v>
      </c>
      <c r="K28" s="6">
        <v>2.25</v>
      </c>
      <c r="L28" s="6">
        <v>61.34</v>
      </c>
      <c r="M28" s="7">
        <v>22.09</v>
      </c>
      <c r="N28" s="1">
        <v>415</v>
      </c>
      <c r="O28" s="37">
        <v>3</v>
      </c>
      <c r="P28" s="37">
        <v>5</v>
      </c>
      <c r="Q28" s="44">
        <v>19.55</v>
      </c>
      <c r="R28" s="59">
        <v>1.88</v>
      </c>
      <c r="S28" s="59">
        <f>Table1[[#This Row],[GROSS VOL]]/Table1[[#This Row],[PCS]]*35.315</f>
        <v>1.8797791566265059</v>
      </c>
      <c r="T28" s="38">
        <v>245</v>
      </c>
      <c r="U28" s="38">
        <v>230</v>
      </c>
      <c r="V28" s="39">
        <f>Table1[[#This Row],[Purchase Volume]]*Table1[[#This Row],[Purchase Price]]</f>
        <v>4496.5</v>
      </c>
      <c r="W28" s="50">
        <v>3</v>
      </c>
      <c r="X28" s="50">
        <v>5</v>
      </c>
      <c r="Y28" s="49">
        <v>19.55</v>
      </c>
      <c r="Z28" s="51">
        <v>280</v>
      </c>
      <c r="AA28" s="51">
        <f>Table1[[#This Row],[BASE PRICE]]-Table1[[#This Row],[P Base Price]]</f>
        <v>35</v>
      </c>
      <c r="AB28" s="52">
        <v>265</v>
      </c>
      <c r="AC28" s="52">
        <f>Table1[[#This Row],[SALES VOL]]*Table1[[#This Row],[SALES PRICE]]</f>
        <v>5180.75</v>
      </c>
      <c r="AD28" s="53">
        <f>Table1[[#This Row],[SALES VALUE]]*10%</f>
        <v>518.07500000000005</v>
      </c>
      <c r="AE28" s="52">
        <v>276.46248856358642</v>
      </c>
      <c r="AF28" s="53">
        <f>Table1[[#This Row],[SALES VOL]]*Table1[[#This Row],[INV. PRICE]]</f>
        <v>5404.8416514181145</v>
      </c>
    </row>
    <row r="29" spans="1:32" ht="15" customHeight="1" x14ac:dyDescent="0.2">
      <c r="A29" s="1" t="s">
        <v>39</v>
      </c>
      <c r="B29" s="1">
        <v>2025</v>
      </c>
      <c r="C29" s="3">
        <v>45678</v>
      </c>
      <c r="D29" s="1" t="s">
        <v>49</v>
      </c>
      <c r="E29" s="1" t="s">
        <v>57</v>
      </c>
      <c r="F29" s="3">
        <v>45693</v>
      </c>
      <c r="G29" s="3">
        <v>45745</v>
      </c>
      <c r="H29" s="3" t="s">
        <v>113</v>
      </c>
      <c r="I29" s="7" t="s">
        <v>43</v>
      </c>
      <c r="J29" s="5" t="s">
        <v>79</v>
      </c>
      <c r="K29" s="6">
        <v>2.25</v>
      </c>
      <c r="L29" s="6">
        <v>59.22</v>
      </c>
      <c r="M29" s="7">
        <v>22.13</v>
      </c>
      <c r="N29" s="1">
        <v>445</v>
      </c>
      <c r="O29" s="37">
        <v>3</v>
      </c>
      <c r="P29" s="37">
        <v>5</v>
      </c>
      <c r="Q29" s="44">
        <v>19.52</v>
      </c>
      <c r="R29" s="59">
        <v>1.76</v>
      </c>
      <c r="S29" s="59">
        <f>Table1[[#This Row],[GROSS VOL]]/Table1[[#This Row],[PCS]]*35.315</f>
        <v>1.756226853932584</v>
      </c>
      <c r="T29" s="38">
        <v>245</v>
      </c>
      <c r="U29" s="38">
        <v>230</v>
      </c>
      <c r="V29" s="39">
        <f>Table1[[#This Row],[Purchase Volume]]*Table1[[#This Row],[Purchase Price]]</f>
        <v>4489.5999999999995</v>
      </c>
      <c r="W29" s="50">
        <v>3</v>
      </c>
      <c r="X29" s="50">
        <v>5</v>
      </c>
      <c r="Y29" s="49">
        <v>19.52</v>
      </c>
      <c r="Z29" s="51">
        <v>280</v>
      </c>
      <c r="AA29" s="51">
        <f>Table1[[#This Row],[BASE PRICE]]-Table1[[#This Row],[P Base Price]]</f>
        <v>35</v>
      </c>
      <c r="AB29" s="52">
        <v>265</v>
      </c>
      <c r="AC29" s="52">
        <f>Table1[[#This Row],[SALES VOL]]*Table1[[#This Row],[SALES PRICE]]</f>
        <v>5172.8</v>
      </c>
      <c r="AD29" s="53">
        <f>Table1[[#This Row],[SALES VALUE]]*10%</f>
        <v>517.28000000000009</v>
      </c>
      <c r="AE29" s="52">
        <v>276.46248856358642</v>
      </c>
      <c r="AF29" s="53">
        <f>Table1[[#This Row],[SALES VOL]]*Table1[[#This Row],[INV. PRICE]]</f>
        <v>5396.5477767612065</v>
      </c>
    </row>
    <row r="30" spans="1:32" ht="15" customHeight="1" x14ac:dyDescent="0.2">
      <c r="A30" s="1" t="s">
        <v>39</v>
      </c>
      <c r="B30" s="1">
        <v>2025</v>
      </c>
      <c r="C30" s="8">
        <v>45678</v>
      </c>
      <c r="D30" s="2" t="s">
        <v>49</v>
      </c>
      <c r="E30" s="4" t="s">
        <v>57</v>
      </c>
      <c r="F30" s="3">
        <v>45693</v>
      </c>
      <c r="G30" s="3">
        <v>45745</v>
      </c>
      <c r="H30" s="3" t="s">
        <v>113</v>
      </c>
      <c r="I30" s="7" t="s">
        <v>43</v>
      </c>
      <c r="J30" s="5" t="s">
        <v>80</v>
      </c>
      <c r="K30" s="6">
        <v>2.25</v>
      </c>
      <c r="L30" s="6">
        <v>67.819999999999993</v>
      </c>
      <c r="M30" s="7">
        <v>22.21</v>
      </c>
      <c r="N30" s="1">
        <v>341</v>
      </c>
      <c r="O30" s="37">
        <v>3</v>
      </c>
      <c r="P30" s="37">
        <v>5</v>
      </c>
      <c r="Q30" s="44">
        <v>19.850000000000001</v>
      </c>
      <c r="R30" s="59">
        <v>2.2999999999999998</v>
      </c>
      <c r="S30" s="59">
        <f>Table1[[#This Row],[GROSS VOL]]/Table1[[#This Row],[PCS]]*35.315</f>
        <v>2.3001353372434017</v>
      </c>
      <c r="T30" s="38">
        <v>245</v>
      </c>
      <c r="U30" s="38">
        <v>260</v>
      </c>
      <c r="V30" s="39">
        <f>Table1[[#This Row],[Purchase Volume]]*Table1[[#This Row],[Purchase Price]]</f>
        <v>5161</v>
      </c>
      <c r="W30" s="50">
        <v>3</v>
      </c>
      <c r="X30" s="50">
        <v>5</v>
      </c>
      <c r="Y30" s="49">
        <v>19.850000000000001</v>
      </c>
      <c r="Z30" s="54">
        <v>280</v>
      </c>
      <c r="AA30" s="54">
        <f>Table1[[#This Row],[BASE PRICE]]-Table1[[#This Row],[P Base Price]]</f>
        <v>35</v>
      </c>
      <c r="AB30" s="52">
        <v>295</v>
      </c>
      <c r="AC30" s="52">
        <f>Table1[[#This Row],[SALES VOL]]*Table1[[#This Row],[SALES PRICE]]</f>
        <v>5855.75</v>
      </c>
      <c r="AD30" s="53">
        <f>Table1[[#This Row],[SALES VALUE]]*10%</f>
        <v>585.57500000000005</v>
      </c>
      <c r="AE30" s="52">
        <v>276.46248856358642</v>
      </c>
      <c r="AF30" s="53">
        <f>Table1[[#This Row],[SALES VOL]]*Table1[[#This Row],[INV. PRICE]]</f>
        <v>5487.7803979871906</v>
      </c>
    </row>
    <row r="31" spans="1:32" ht="15" customHeight="1" x14ac:dyDescent="0.2">
      <c r="A31" s="1" t="s">
        <v>39</v>
      </c>
      <c r="B31" s="1">
        <v>2025</v>
      </c>
      <c r="C31" s="8">
        <v>45678</v>
      </c>
      <c r="D31" s="2" t="s">
        <v>49</v>
      </c>
      <c r="E31" s="4" t="s">
        <v>57</v>
      </c>
      <c r="F31" s="3">
        <v>45693</v>
      </c>
      <c r="G31" s="3">
        <v>45745</v>
      </c>
      <c r="H31" s="3" t="s">
        <v>113</v>
      </c>
      <c r="I31" s="7" t="s">
        <v>43</v>
      </c>
      <c r="J31" s="5" t="s">
        <v>81</v>
      </c>
      <c r="K31" s="6">
        <v>2.25</v>
      </c>
      <c r="L31" s="6">
        <v>74.25</v>
      </c>
      <c r="M31" s="7">
        <v>21.85</v>
      </c>
      <c r="N31" s="1">
        <v>281</v>
      </c>
      <c r="O31" s="37">
        <v>3</v>
      </c>
      <c r="P31" s="37">
        <v>5</v>
      </c>
      <c r="Q31" s="44">
        <v>19.670000000000002</v>
      </c>
      <c r="R31" s="59">
        <v>2.75</v>
      </c>
      <c r="S31" s="59">
        <f>Table1[[#This Row],[GROSS VOL]]/Table1[[#This Row],[PCS]]*35.315</f>
        <v>2.746024021352313</v>
      </c>
      <c r="T31" s="38">
        <v>245</v>
      </c>
      <c r="U31" s="38">
        <v>290</v>
      </c>
      <c r="V31" s="39">
        <f>Table1[[#This Row],[Purchase Volume]]*Table1[[#This Row],[Purchase Price]]</f>
        <v>5704.3</v>
      </c>
      <c r="W31" s="50">
        <v>3</v>
      </c>
      <c r="X31" s="50">
        <v>5</v>
      </c>
      <c r="Y31" s="49">
        <v>19.670000000000002</v>
      </c>
      <c r="Z31" s="54">
        <v>280</v>
      </c>
      <c r="AA31" s="54">
        <f>Table1[[#This Row],[BASE PRICE]]-Table1[[#This Row],[P Base Price]]</f>
        <v>35</v>
      </c>
      <c r="AB31" s="52">
        <v>325</v>
      </c>
      <c r="AC31" s="52">
        <f>Table1[[#This Row],[SALES VOL]]*Table1[[#This Row],[SALES PRICE]]</f>
        <v>6392.7500000000009</v>
      </c>
      <c r="AD31" s="53">
        <f>Table1[[#This Row],[SALES VALUE]]*10%</f>
        <v>639.27500000000009</v>
      </c>
      <c r="AE31" s="52">
        <v>276.46248856358642</v>
      </c>
      <c r="AF31" s="53">
        <f>Table1[[#This Row],[SALES VOL]]*Table1[[#This Row],[INV. PRICE]]</f>
        <v>5438.0171500457454</v>
      </c>
    </row>
    <row r="32" spans="1:32" ht="15" customHeight="1" x14ac:dyDescent="0.2">
      <c r="A32" s="1" t="s">
        <v>39</v>
      </c>
      <c r="B32" s="1">
        <v>2025</v>
      </c>
      <c r="C32" s="8">
        <v>45678</v>
      </c>
      <c r="D32" s="2" t="s">
        <v>49</v>
      </c>
      <c r="E32" s="4" t="s">
        <v>57</v>
      </c>
      <c r="F32" s="3">
        <v>45693</v>
      </c>
      <c r="G32" s="3">
        <v>45745</v>
      </c>
      <c r="H32" s="3" t="s">
        <v>113</v>
      </c>
      <c r="I32" s="7" t="s">
        <v>43</v>
      </c>
      <c r="J32" s="5" t="s">
        <v>82</v>
      </c>
      <c r="K32" s="6">
        <v>2.25</v>
      </c>
      <c r="L32" s="6">
        <v>86.9</v>
      </c>
      <c r="M32" s="7">
        <v>21.69</v>
      </c>
      <c r="N32" s="1">
        <v>202</v>
      </c>
      <c r="O32" s="37">
        <v>3</v>
      </c>
      <c r="P32" s="37">
        <v>5</v>
      </c>
      <c r="Q32" s="44">
        <v>19.78</v>
      </c>
      <c r="R32" s="59">
        <v>3.79</v>
      </c>
      <c r="S32" s="59">
        <f>Table1[[#This Row],[GROSS VOL]]/Table1[[#This Row],[PCS]]*35.315</f>
        <v>3.7919918316831684</v>
      </c>
      <c r="T32" s="38">
        <v>245</v>
      </c>
      <c r="U32" s="38">
        <v>350</v>
      </c>
      <c r="V32" s="39">
        <f>Table1[[#This Row],[Purchase Volume]]*Table1[[#This Row],[Purchase Price]]</f>
        <v>6923</v>
      </c>
      <c r="W32" s="50">
        <v>3</v>
      </c>
      <c r="X32" s="50">
        <v>5</v>
      </c>
      <c r="Y32" s="49">
        <v>19.78</v>
      </c>
      <c r="Z32" s="54">
        <v>280</v>
      </c>
      <c r="AA32" s="54">
        <f>Table1[[#This Row],[BASE PRICE]]-Table1[[#This Row],[P Base Price]]</f>
        <v>35</v>
      </c>
      <c r="AB32" s="52">
        <v>385</v>
      </c>
      <c r="AC32" s="52">
        <f>Table1[[#This Row],[SALES VOL]]*Table1[[#This Row],[SALES PRICE]]</f>
        <v>7615.3</v>
      </c>
      <c r="AD32" s="53">
        <f>Table1[[#This Row],[SALES VALUE]]*10%</f>
        <v>761.53000000000009</v>
      </c>
      <c r="AE32" s="52">
        <v>276.46248856358642</v>
      </c>
      <c r="AF32" s="53">
        <f>Table1[[#This Row],[SALES VOL]]*Table1[[#This Row],[INV. PRICE]]</f>
        <v>5468.4280237877401</v>
      </c>
    </row>
    <row r="33" spans="1:32" ht="15" customHeight="1" x14ac:dyDescent="0.2">
      <c r="A33" s="1"/>
      <c r="B33" s="1"/>
      <c r="C33" s="8"/>
      <c r="D33" s="2"/>
      <c r="E33" s="1"/>
      <c r="F33" s="3"/>
      <c r="G33" s="3"/>
      <c r="H33" s="3"/>
      <c r="I33" s="7"/>
      <c r="J33" s="5"/>
      <c r="K33" s="6"/>
      <c r="L33" s="6"/>
      <c r="M33" s="7"/>
      <c r="N33" s="1"/>
      <c r="O33" s="37"/>
      <c r="P33" s="37"/>
      <c r="Q33" s="44"/>
      <c r="R33" s="59"/>
      <c r="S33" s="59"/>
      <c r="T33" s="38"/>
      <c r="U33" s="38"/>
      <c r="V33" s="39"/>
      <c r="W33" s="50"/>
      <c r="X33" s="50"/>
      <c r="Y33" s="49"/>
      <c r="Z33" s="51"/>
      <c r="AA33" s="51"/>
      <c r="AB33" s="52"/>
      <c r="AC33" s="52"/>
      <c r="AD33" s="53"/>
      <c r="AE33" s="52"/>
      <c r="AF33" s="53"/>
    </row>
    <row r="34" spans="1:32" ht="15" customHeight="1" x14ac:dyDescent="0.2">
      <c r="A34" s="1" t="s">
        <v>39</v>
      </c>
      <c r="B34" s="1">
        <v>2025</v>
      </c>
      <c r="C34" s="8">
        <v>45683</v>
      </c>
      <c r="D34" s="2" t="s">
        <v>50</v>
      </c>
      <c r="E34" s="4" t="s">
        <v>58</v>
      </c>
      <c r="F34" s="3">
        <v>45693</v>
      </c>
      <c r="G34" s="3">
        <v>45745</v>
      </c>
      <c r="H34" s="3" t="s">
        <v>113</v>
      </c>
      <c r="I34" s="7" t="s">
        <v>104</v>
      </c>
      <c r="J34" s="5" t="s">
        <v>83</v>
      </c>
      <c r="K34" s="6">
        <v>5.8</v>
      </c>
      <c r="L34" s="6">
        <v>70.040000000000006</v>
      </c>
      <c r="M34" s="7">
        <v>22.25</v>
      </c>
      <c r="N34" s="1">
        <v>124</v>
      </c>
      <c r="O34" s="37">
        <v>3</v>
      </c>
      <c r="P34" s="37">
        <v>5</v>
      </c>
      <c r="Q34" s="44">
        <v>20.22</v>
      </c>
      <c r="R34" s="59">
        <v>6.34</v>
      </c>
      <c r="S34" s="59">
        <f>Table1[[#This Row],[GROSS VOL]]/Table1[[#This Row],[PCS]]*35.315</f>
        <v>6.3367641129032259</v>
      </c>
      <c r="T34" s="38">
        <v>285</v>
      </c>
      <c r="U34" s="38">
        <v>345</v>
      </c>
      <c r="V34" s="39">
        <f>Table1[[#This Row],[Purchase Volume]]*Table1[[#This Row],[Purchase Price]]</f>
        <v>6975.9</v>
      </c>
      <c r="W34" s="50">
        <v>3</v>
      </c>
      <c r="X34" s="50">
        <v>5</v>
      </c>
      <c r="Y34" s="49">
        <v>20.22</v>
      </c>
      <c r="Z34" s="54">
        <v>315</v>
      </c>
      <c r="AA34" s="54">
        <f>Table1[[#This Row],[BASE PRICE]]-Table1[[#This Row],[P Base Price]]</f>
        <v>30</v>
      </c>
      <c r="AB34" s="52">
        <v>375</v>
      </c>
      <c r="AC34" s="52">
        <f>Table1[[#This Row],[SALES VOL]]*Table1[[#This Row],[SALES PRICE]]</f>
        <v>7582.5</v>
      </c>
      <c r="AD34" s="53">
        <f>Table1[[#This Row],[SALES VALUE]]*10%</f>
        <v>758.25</v>
      </c>
      <c r="AE34" s="52">
        <v>289.60909551130618</v>
      </c>
      <c r="AF34" s="53">
        <f>Table1[[#This Row],[SALES VOL]]*Table1[[#This Row],[INV. PRICE]]</f>
        <v>5855.895911238611</v>
      </c>
    </row>
    <row r="35" spans="1:32" ht="15" customHeight="1" x14ac:dyDescent="0.2">
      <c r="A35" s="1" t="s">
        <v>39</v>
      </c>
      <c r="B35" s="1">
        <v>2025</v>
      </c>
      <c r="C35" s="8">
        <v>45683</v>
      </c>
      <c r="D35" s="2" t="s">
        <v>50</v>
      </c>
      <c r="E35" s="1" t="s">
        <v>58</v>
      </c>
      <c r="F35" s="3">
        <v>45693</v>
      </c>
      <c r="G35" s="3">
        <v>45745</v>
      </c>
      <c r="H35" s="3" t="s">
        <v>113</v>
      </c>
      <c r="I35" s="7" t="s">
        <v>43</v>
      </c>
      <c r="J35" s="5" t="s">
        <v>84</v>
      </c>
      <c r="K35" s="6">
        <v>2.25</v>
      </c>
      <c r="L35" s="6">
        <v>85.61</v>
      </c>
      <c r="M35" s="7">
        <v>11.75</v>
      </c>
      <c r="N35" s="1">
        <v>113</v>
      </c>
      <c r="O35" s="37">
        <v>3</v>
      </c>
      <c r="P35" s="37">
        <v>5</v>
      </c>
      <c r="Q35" s="44">
        <v>10.7</v>
      </c>
      <c r="R35" s="59">
        <v>3.67</v>
      </c>
      <c r="S35" s="59">
        <f>Table1[[#This Row],[GROSS VOL]]/Table1[[#This Row],[PCS]]*35.315</f>
        <v>3.6721349557522118</v>
      </c>
      <c r="T35" s="38">
        <v>245</v>
      </c>
      <c r="U35" s="38">
        <v>335</v>
      </c>
      <c r="V35" s="39">
        <f>Table1[[#This Row],[Purchase Volume]]*Table1[[#This Row],[Purchase Price]]</f>
        <v>3584.4999999999995</v>
      </c>
      <c r="W35" s="50">
        <v>3</v>
      </c>
      <c r="X35" s="50">
        <v>5</v>
      </c>
      <c r="Y35" s="49">
        <v>10.7</v>
      </c>
      <c r="Z35" s="51">
        <v>280</v>
      </c>
      <c r="AA35" s="51">
        <f>Table1[[#This Row],[BASE PRICE]]-Table1[[#This Row],[P Base Price]]</f>
        <v>35</v>
      </c>
      <c r="AB35" s="52">
        <v>370</v>
      </c>
      <c r="AC35" s="52">
        <f>Table1[[#This Row],[SALES VOL]]*Table1[[#This Row],[SALES PRICE]]</f>
        <v>3958.9999999999995</v>
      </c>
      <c r="AD35" s="53">
        <f>Table1[[#This Row],[SALES VALUE]]*10%</f>
        <v>395.9</v>
      </c>
      <c r="AE35" s="52">
        <v>289.60909551130618</v>
      </c>
      <c r="AF35" s="53">
        <f>Table1[[#This Row],[SALES VOL]]*Table1[[#This Row],[INV. PRICE]]</f>
        <v>3098.8173219709761</v>
      </c>
    </row>
    <row r="36" spans="1:32" ht="15" customHeight="1" x14ac:dyDescent="0.2">
      <c r="A36" s="1" t="s">
        <v>39</v>
      </c>
      <c r="B36" s="1">
        <v>2025</v>
      </c>
      <c r="C36" s="8">
        <v>45683</v>
      </c>
      <c r="D36" s="2" t="s">
        <v>50</v>
      </c>
      <c r="E36" s="4" t="s">
        <v>58</v>
      </c>
      <c r="F36" s="3">
        <v>45693</v>
      </c>
      <c r="G36" s="3">
        <v>45745</v>
      </c>
      <c r="H36" s="3" t="s">
        <v>113</v>
      </c>
      <c r="I36" s="7" t="s">
        <v>104</v>
      </c>
      <c r="J36" s="5"/>
      <c r="K36" s="6">
        <v>5.8</v>
      </c>
      <c r="L36" s="6">
        <v>68.83</v>
      </c>
      <c r="M36" s="7">
        <v>9.7200000000000006</v>
      </c>
      <c r="N36" s="1">
        <v>56</v>
      </c>
      <c r="O36" s="37">
        <v>3</v>
      </c>
      <c r="P36" s="37">
        <v>5</v>
      </c>
      <c r="Q36" s="44">
        <v>8.82</v>
      </c>
      <c r="R36" s="59">
        <v>6.13</v>
      </c>
      <c r="S36" s="59">
        <f>Table1[[#This Row],[GROSS VOL]]/Table1[[#This Row],[PCS]]*35.315</f>
        <v>6.1296749999999998</v>
      </c>
      <c r="T36" s="38">
        <v>285</v>
      </c>
      <c r="U36" s="38">
        <v>315</v>
      </c>
      <c r="V36" s="39">
        <f>Table1[[#This Row],[Purchase Volume]]*Table1[[#This Row],[Purchase Price]]</f>
        <v>2778.3</v>
      </c>
      <c r="W36" s="50">
        <v>3</v>
      </c>
      <c r="X36" s="50">
        <v>5</v>
      </c>
      <c r="Y36" s="49">
        <v>8.82</v>
      </c>
      <c r="Z36" s="54">
        <v>315</v>
      </c>
      <c r="AA36" s="54">
        <f>Table1[[#This Row],[BASE PRICE]]-Table1[[#This Row],[P Base Price]]</f>
        <v>30</v>
      </c>
      <c r="AB36" s="52">
        <v>345</v>
      </c>
      <c r="AC36" s="52">
        <f>Table1[[#This Row],[SALES VOL]]*Table1[[#This Row],[SALES PRICE]]</f>
        <v>3042.9</v>
      </c>
      <c r="AD36" s="53">
        <f>Table1[[#This Row],[SALES VALUE]]*10%</f>
        <v>304.29000000000002</v>
      </c>
      <c r="AE36" s="52">
        <v>289.60909551130618</v>
      </c>
      <c r="AF36" s="53">
        <f>Table1[[#This Row],[SALES VOL]]*Table1[[#This Row],[INV. PRICE]]</f>
        <v>2554.3522224097205</v>
      </c>
    </row>
    <row r="37" spans="1:32" ht="15" customHeight="1" x14ac:dyDescent="0.2">
      <c r="A37" s="1" t="s">
        <v>39</v>
      </c>
      <c r="B37" s="1">
        <v>2025</v>
      </c>
      <c r="C37" s="8">
        <v>45683</v>
      </c>
      <c r="D37" s="2" t="s">
        <v>50</v>
      </c>
      <c r="E37" s="4" t="s">
        <v>58</v>
      </c>
      <c r="F37" s="3">
        <v>45693</v>
      </c>
      <c r="G37" s="3">
        <v>45745</v>
      </c>
      <c r="H37" s="3" t="s">
        <v>113</v>
      </c>
      <c r="I37" s="7" t="s">
        <v>43</v>
      </c>
      <c r="J37" s="5" t="s">
        <v>85</v>
      </c>
      <c r="K37" s="6">
        <v>2.25</v>
      </c>
      <c r="L37" s="6">
        <v>63.27</v>
      </c>
      <c r="M37" s="7">
        <v>22.11</v>
      </c>
      <c r="N37" s="1">
        <v>389</v>
      </c>
      <c r="O37" s="37">
        <v>3</v>
      </c>
      <c r="P37" s="37">
        <v>5</v>
      </c>
      <c r="Q37" s="44">
        <v>19.64</v>
      </c>
      <c r="R37" s="59">
        <v>2.0099999999999998</v>
      </c>
      <c r="S37" s="59">
        <f>Table1[[#This Row],[GROSS VOL]]/Table1[[#This Row],[PCS]]*35.315</f>
        <v>2.0072356041131103</v>
      </c>
      <c r="T37" s="38">
        <v>245</v>
      </c>
      <c r="U37" s="38">
        <v>245</v>
      </c>
      <c r="V37" s="39">
        <f>Table1[[#This Row],[Purchase Volume]]*Table1[[#This Row],[Purchase Price]]</f>
        <v>4811.8</v>
      </c>
      <c r="W37" s="50">
        <v>3</v>
      </c>
      <c r="X37" s="50">
        <v>5</v>
      </c>
      <c r="Y37" s="49">
        <v>19.64</v>
      </c>
      <c r="Z37" s="54">
        <v>280</v>
      </c>
      <c r="AA37" s="54">
        <f>Table1[[#This Row],[BASE PRICE]]-Table1[[#This Row],[P Base Price]]</f>
        <v>35</v>
      </c>
      <c r="AB37" s="52">
        <v>280</v>
      </c>
      <c r="AC37" s="52">
        <f>Table1[[#This Row],[SALES VOL]]*Table1[[#This Row],[SALES PRICE]]</f>
        <v>5499.2</v>
      </c>
      <c r="AD37" s="53">
        <f>Table1[[#This Row],[SALES VALUE]]*10%</f>
        <v>549.91999999999996</v>
      </c>
      <c r="AE37" s="52">
        <v>289.60909551130618</v>
      </c>
      <c r="AF37" s="53">
        <f>Table1[[#This Row],[SALES VOL]]*Table1[[#This Row],[INV. PRICE]]</f>
        <v>5687.9226358420538</v>
      </c>
    </row>
    <row r="38" spans="1:32" ht="15" customHeight="1" x14ac:dyDescent="0.2">
      <c r="A38" s="1" t="s">
        <v>39</v>
      </c>
      <c r="B38" s="1">
        <v>2025</v>
      </c>
      <c r="C38" s="8">
        <v>45683</v>
      </c>
      <c r="D38" s="1" t="s">
        <v>50</v>
      </c>
      <c r="E38" s="1" t="s">
        <v>58</v>
      </c>
      <c r="F38" s="3">
        <v>45693</v>
      </c>
      <c r="G38" s="3">
        <v>45745</v>
      </c>
      <c r="H38" s="3" t="s">
        <v>113</v>
      </c>
      <c r="I38" s="7" t="s">
        <v>43</v>
      </c>
      <c r="J38" s="5" t="s">
        <v>86</v>
      </c>
      <c r="K38" s="6">
        <v>2.25</v>
      </c>
      <c r="L38" s="6">
        <v>82.23</v>
      </c>
      <c r="M38" s="7">
        <v>21.96</v>
      </c>
      <c r="N38" s="1">
        <v>229</v>
      </c>
      <c r="O38" s="37">
        <v>3</v>
      </c>
      <c r="P38" s="37">
        <v>5</v>
      </c>
      <c r="Q38" s="44">
        <v>19.940000000000001</v>
      </c>
      <c r="R38" s="59">
        <v>3.39</v>
      </c>
      <c r="S38" s="59">
        <f>Table1[[#This Row],[GROSS VOL]]/Table1[[#This Row],[PCS]]*35.315</f>
        <v>3.3865388646288208</v>
      </c>
      <c r="T38" s="38">
        <v>245</v>
      </c>
      <c r="U38" s="38">
        <v>320</v>
      </c>
      <c r="V38" s="39">
        <f>Table1[[#This Row],[Purchase Volume]]*Table1[[#This Row],[Purchase Price]]</f>
        <v>6380.8</v>
      </c>
      <c r="W38" s="50">
        <v>3</v>
      </c>
      <c r="X38" s="50">
        <v>5</v>
      </c>
      <c r="Y38" s="49">
        <v>19.940000000000001</v>
      </c>
      <c r="Z38" s="51">
        <v>280</v>
      </c>
      <c r="AA38" s="51">
        <f>Table1[[#This Row],[BASE PRICE]]-Table1[[#This Row],[P Base Price]]</f>
        <v>35</v>
      </c>
      <c r="AB38" s="52">
        <v>355</v>
      </c>
      <c r="AC38" s="52">
        <f>Table1[[#This Row],[SALES VOL]]*Table1[[#This Row],[SALES PRICE]]</f>
        <v>7078.7000000000007</v>
      </c>
      <c r="AD38" s="53">
        <f>Table1[[#This Row],[SALES VALUE]]*10%</f>
        <v>707.87000000000012</v>
      </c>
      <c r="AE38" s="52">
        <v>289.60909551130618</v>
      </c>
      <c r="AF38" s="53">
        <f>Table1[[#This Row],[SALES VOL]]*Table1[[#This Row],[INV. PRICE]]</f>
        <v>5774.8053644954452</v>
      </c>
    </row>
    <row r="39" spans="1:32" ht="15" customHeight="1" x14ac:dyDescent="0.2">
      <c r="A39" s="1" t="s">
        <v>39</v>
      </c>
      <c r="B39" s="1">
        <v>2025</v>
      </c>
      <c r="C39" s="8">
        <v>45683</v>
      </c>
      <c r="D39" s="1" t="s">
        <v>50</v>
      </c>
      <c r="E39" s="1" t="s">
        <v>58</v>
      </c>
      <c r="F39" s="3">
        <v>45693</v>
      </c>
      <c r="G39" s="3">
        <v>45745</v>
      </c>
      <c r="H39" s="3" t="s">
        <v>113</v>
      </c>
      <c r="I39" s="7" t="s">
        <v>43</v>
      </c>
      <c r="J39" s="5" t="s">
        <v>87</v>
      </c>
      <c r="K39" s="6">
        <v>2.25</v>
      </c>
      <c r="L39" s="6">
        <v>63.56</v>
      </c>
      <c r="M39" s="7">
        <v>22.01</v>
      </c>
      <c r="N39" s="1">
        <v>384</v>
      </c>
      <c r="O39" s="37">
        <v>3</v>
      </c>
      <c r="P39" s="37">
        <v>5</v>
      </c>
      <c r="Q39" s="44">
        <v>19.55</v>
      </c>
      <c r="R39" s="59">
        <v>2.02</v>
      </c>
      <c r="S39" s="59">
        <f>Table1[[#This Row],[GROSS VOL]]/Table1[[#This Row],[PCS]]*35.315</f>
        <v>2.0241748697916666</v>
      </c>
      <c r="T39" s="38">
        <v>245</v>
      </c>
      <c r="U39" s="38">
        <v>245</v>
      </c>
      <c r="V39" s="39">
        <f>Table1[[#This Row],[Purchase Volume]]*Table1[[#This Row],[Purchase Price]]</f>
        <v>4789.75</v>
      </c>
      <c r="W39" s="50">
        <v>3</v>
      </c>
      <c r="X39" s="50">
        <v>5</v>
      </c>
      <c r="Y39" s="49">
        <v>19.55</v>
      </c>
      <c r="Z39" s="51">
        <v>280</v>
      </c>
      <c r="AA39" s="51">
        <f>Table1[[#This Row],[BASE PRICE]]-Table1[[#This Row],[P Base Price]]</f>
        <v>35</v>
      </c>
      <c r="AB39" s="52">
        <v>280</v>
      </c>
      <c r="AC39" s="52">
        <f>Table1[[#This Row],[SALES VOL]]*Table1[[#This Row],[SALES PRICE]]</f>
        <v>5474</v>
      </c>
      <c r="AD39" s="53">
        <f>Table1[[#This Row],[SALES VALUE]]*10%</f>
        <v>547.4</v>
      </c>
      <c r="AE39" s="52">
        <v>289.60909551130618</v>
      </c>
      <c r="AF39" s="53">
        <f>Table1[[#This Row],[SALES VOL]]*Table1[[#This Row],[INV. PRICE]]</f>
        <v>5661.8578172460357</v>
      </c>
    </row>
    <row r="40" spans="1:32" ht="15" customHeight="1" x14ac:dyDescent="0.2">
      <c r="A40" s="1" t="s">
        <v>39</v>
      </c>
      <c r="B40" s="1">
        <v>2025</v>
      </c>
      <c r="C40" s="8">
        <v>45683</v>
      </c>
      <c r="D40" s="1" t="s">
        <v>50</v>
      </c>
      <c r="E40" s="1" t="s">
        <v>58</v>
      </c>
      <c r="F40" s="3">
        <v>45693</v>
      </c>
      <c r="G40" s="3">
        <v>45745</v>
      </c>
      <c r="H40" s="3" t="s">
        <v>113</v>
      </c>
      <c r="I40" s="7" t="s">
        <v>43</v>
      </c>
      <c r="J40" s="5" t="s">
        <v>88</v>
      </c>
      <c r="K40" s="6">
        <v>2.25</v>
      </c>
      <c r="L40" s="6">
        <v>63.02</v>
      </c>
      <c r="M40" s="7">
        <v>22.12</v>
      </c>
      <c r="N40" s="1">
        <v>389</v>
      </c>
      <c r="O40" s="37">
        <v>3</v>
      </c>
      <c r="P40" s="37">
        <v>5</v>
      </c>
      <c r="Q40" s="44">
        <v>19.649999999999999</v>
      </c>
      <c r="R40" s="59">
        <v>2.0099999999999998</v>
      </c>
      <c r="S40" s="59">
        <f>Table1[[#This Row],[GROSS VOL]]/Table1[[#This Row],[PCS]]*35.315</f>
        <v>2.0081434447300772</v>
      </c>
      <c r="T40" s="38">
        <v>245</v>
      </c>
      <c r="U40" s="38">
        <v>245</v>
      </c>
      <c r="V40" s="39">
        <f>Table1[[#This Row],[Purchase Volume]]*Table1[[#This Row],[Purchase Price]]</f>
        <v>4814.25</v>
      </c>
      <c r="W40" s="50">
        <v>3</v>
      </c>
      <c r="X40" s="50">
        <v>5</v>
      </c>
      <c r="Y40" s="49">
        <v>19.649999999999999</v>
      </c>
      <c r="Z40" s="51">
        <v>280</v>
      </c>
      <c r="AA40" s="51">
        <f>Table1[[#This Row],[BASE PRICE]]-Table1[[#This Row],[P Base Price]]</f>
        <v>35</v>
      </c>
      <c r="AB40" s="52">
        <v>280</v>
      </c>
      <c r="AC40" s="52">
        <f>Table1[[#This Row],[SALES VOL]]*Table1[[#This Row],[SALES PRICE]]</f>
        <v>5502</v>
      </c>
      <c r="AD40" s="53">
        <f>Table1[[#This Row],[SALES VALUE]]*10%</f>
        <v>550.20000000000005</v>
      </c>
      <c r="AE40" s="52">
        <v>289.60909551130618</v>
      </c>
      <c r="AF40" s="53">
        <f>Table1[[#This Row],[SALES VOL]]*Table1[[#This Row],[INV. PRICE]]</f>
        <v>5690.8187267971662</v>
      </c>
    </row>
    <row r="41" spans="1:32" ht="15" customHeight="1" x14ac:dyDescent="0.2">
      <c r="A41" s="1"/>
      <c r="B41" s="1"/>
      <c r="C41" s="8"/>
      <c r="D41" s="1"/>
      <c r="E41" s="1"/>
      <c r="F41" s="3"/>
      <c r="G41" s="3"/>
      <c r="H41" s="3"/>
      <c r="I41" s="7"/>
      <c r="J41" s="5"/>
      <c r="K41" s="6"/>
      <c r="L41" s="6"/>
      <c r="M41" s="7"/>
      <c r="N41" s="1"/>
      <c r="O41" s="37"/>
      <c r="P41" s="37"/>
      <c r="Q41" s="44"/>
      <c r="R41" s="59"/>
      <c r="S41" s="59"/>
      <c r="T41" s="38"/>
      <c r="U41" s="38"/>
      <c r="V41" s="39"/>
      <c r="W41" s="50"/>
      <c r="X41" s="50"/>
      <c r="Y41" s="49"/>
      <c r="Z41" s="51"/>
      <c r="AA41" s="51"/>
      <c r="AB41" s="52"/>
      <c r="AC41" s="52"/>
      <c r="AD41" s="53"/>
      <c r="AE41" s="52"/>
      <c r="AF41" s="53"/>
    </row>
    <row r="42" spans="1:32" ht="15" customHeight="1" x14ac:dyDescent="0.2">
      <c r="A42" s="1" t="s">
        <v>39</v>
      </c>
      <c r="B42" s="1">
        <v>2025</v>
      </c>
      <c r="C42" s="8">
        <v>45690</v>
      </c>
      <c r="D42" s="1" t="s">
        <v>51</v>
      </c>
      <c r="E42" s="1" t="s">
        <v>59</v>
      </c>
      <c r="F42" s="3">
        <v>45693</v>
      </c>
      <c r="G42" s="3">
        <v>45745</v>
      </c>
      <c r="H42" s="3" t="s">
        <v>113</v>
      </c>
      <c r="I42" s="7" t="s">
        <v>44</v>
      </c>
      <c r="J42" s="5" t="s">
        <v>89</v>
      </c>
      <c r="K42" s="6">
        <v>7</v>
      </c>
      <c r="L42" s="6">
        <v>70.11</v>
      </c>
      <c r="M42" s="7">
        <v>16.5</v>
      </c>
      <c r="N42" s="1">
        <v>76</v>
      </c>
      <c r="O42" s="37">
        <v>3</v>
      </c>
      <c r="P42" s="37">
        <v>5</v>
      </c>
      <c r="Q42" s="44">
        <v>15.02</v>
      </c>
      <c r="R42" s="59">
        <v>7.67</v>
      </c>
      <c r="S42" s="59">
        <f>Table1[[#This Row],[GROSS VOL]]/Table1[[#This Row],[PCS]]*35.315</f>
        <v>7.6670723684210529</v>
      </c>
      <c r="T42" s="38">
        <v>300</v>
      </c>
      <c r="U42" s="38">
        <v>360</v>
      </c>
      <c r="V42" s="39">
        <f>Table1[[#This Row],[Purchase Volume]]*Table1[[#This Row],[Purchase Price]]</f>
        <v>5407.2</v>
      </c>
      <c r="W42" s="50">
        <v>3</v>
      </c>
      <c r="X42" s="50">
        <v>5</v>
      </c>
      <c r="Y42" s="49">
        <v>15.02</v>
      </c>
      <c r="Z42" s="51">
        <v>330</v>
      </c>
      <c r="AA42" s="51">
        <f>Table1[[#This Row],[BASE PRICE]]-Table1[[#This Row],[P Base Price]]</f>
        <v>30</v>
      </c>
      <c r="AB42" s="52">
        <v>390</v>
      </c>
      <c r="AC42" s="52">
        <f>Table1[[#This Row],[SALES VOL]]*Table1[[#This Row],[SALES PRICE]]</f>
        <v>5857.8</v>
      </c>
      <c r="AD42" s="53">
        <f>Table1[[#This Row],[SALES VALUE]]*10%</f>
        <v>585.78000000000009</v>
      </c>
      <c r="AE42" s="52">
        <v>294.12184831232207</v>
      </c>
      <c r="AF42" s="53">
        <f>Table1[[#This Row],[SALES VOL]]*Table1[[#This Row],[INV. PRICE]]</f>
        <v>4417.7101616510772</v>
      </c>
    </row>
    <row r="43" spans="1:32" ht="15" customHeight="1" x14ac:dyDescent="0.2">
      <c r="A43" s="1" t="s">
        <v>39</v>
      </c>
      <c r="B43" s="1">
        <v>2025</v>
      </c>
      <c r="C43" s="8">
        <v>45690</v>
      </c>
      <c r="D43" s="1" t="s">
        <v>51</v>
      </c>
      <c r="E43" s="1" t="s">
        <v>59</v>
      </c>
      <c r="F43" s="3">
        <v>45693</v>
      </c>
      <c r="G43" s="3">
        <v>45745</v>
      </c>
      <c r="H43" s="3" t="s">
        <v>113</v>
      </c>
      <c r="I43" s="7" t="s">
        <v>43</v>
      </c>
      <c r="J43" s="5"/>
      <c r="K43" s="6">
        <v>2.4700000000000002</v>
      </c>
      <c r="L43" s="6">
        <v>63.45</v>
      </c>
      <c r="M43" s="7">
        <v>5.3</v>
      </c>
      <c r="N43" s="1">
        <v>84</v>
      </c>
      <c r="O43" s="37">
        <v>3</v>
      </c>
      <c r="P43" s="37">
        <v>5</v>
      </c>
      <c r="Q43" s="44">
        <v>4.72</v>
      </c>
      <c r="R43" s="59">
        <v>2.23</v>
      </c>
      <c r="S43" s="59">
        <f>Table1[[#This Row],[GROSS VOL]]/Table1[[#This Row],[PCS]]*35.315</f>
        <v>2.2282083333333329</v>
      </c>
      <c r="T43" s="38">
        <v>245</v>
      </c>
      <c r="U43" s="38">
        <v>254.02542372881356</v>
      </c>
      <c r="V43" s="39">
        <f>Table1[[#This Row],[Purchase Volume]]*Table1[[#This Row],[Purchase Price]]</f>
        <v>1199</v>
      </c>
      <c r="W43" s="50">
        <v>3</v>
      </c>
      <c r="X43" s="50">
        <v>5</v>
      </c>
      <c r="Y43" s="49">
        <v>4.72</v>
      </c>
      <c r="Z43" s="51">
        <v>280</v>
      </c>
      <c r="AA43" s="51">
        <f>Table1[[#This Row],[BASE PRICE]]-Table1[[#This Row],[P Base Price]]</f>
        <v>35</v>
      </c>
      <c r="AB43" s="52">
        <v>280</v>
      </c>
      <c r="AC43" s="52">
        <f>Table1[[#This Row],[SALES VOL]]*Table1[[#This Row],[SALES PRICE]]</f>
        <v>1321.6</v>
      </c>
      <c r="AD43" s="53">
        <f>Table1[[#This Row],[SALES VALUE]]*10%</f>
        <v>132.16</v>
      </c>
      <c r="AE43" s="52">
        <v>294.12184831232207</v>
      </c>
      <c r="AF43" s="53">
        <f>Table1[[#This Row],[SALES VOL]]*Table1[[#This Row],[INV. PRICE]]</f>
        <v>1388.2551240341602</v>
      </c>
    </row>
    <row r="44" spans="1:32" ht="15" customHeight="1" x14ac:dyDescent="0.2">
      <c r="A44" s="1" t="s">
        <v>39</v>
      </c>
      <c r="B44" s="1">
        <v>2025</v>
      </c>
      <c r="C44" s="8">
        <v>45690</v>
      </c>
      <c r="D44" s="1" t="s">
        <v>51</v>
      </c>
      <c r="E44" s="1" t="s">
        <v>59</v>
      </c>
      <c r="F44" s="3">
        <v>45693</v>
      </c>
      <c r="G44" s="3">
        <v>45745</v>
      </c>
      <c r="H44" s="3" t="s">
        <v>113</v>
      </c>
      <c r="I44" s="7" t="s">
        <v>43</v>
      </c>
      <c r="J44" s="5" t="s">
        <v>90</v>
      </c>
      <c r="K44" s="6">
        <v>2.25</v>
      </c>
      <c r="L44" s="6">
        <v>82.62</v>
      </c>
      <c r="M44" s="7">
        <v>21.71</v>
      </c>
      <c r="N44" s="1">
        <v>224</v>
      </c>
      <c r="O44" s="37">
        <v>3</v>
      </c>
      <c r="P44" s="37">
        <v>5</v>
      </c>
      <c r="Q44" s="44">
        <v>19.73</v>
      </c>
      <c r="R44" s="59">
        <v>3.42</v>
      </c>
      <c r="S44" s="59">
        <f>Table1[[#This Row],[GROSS VOL]]/Table1[[#This Row],[PCS]]*35.315</f>
        <v>3.4227171875</v>
      </c>
      <c r="T44" s="38">
        <v>245</v>
      </c>
      <c r="U44" s="38">
        <v>320</v>
      </c>
      <c r="V44" s="39">
        <f>Table1[[#This Row],[Purchase Volume]]*Table1[[#This Row],[Purchase Price]]</f>
        <v>6313.6</v>
      </c>
      <c r="W44" s="50">
        <v>3</v>
      </c>
      <c r="X44" s="50">
        <v>5</v>
      </c>
      <c r="Y44" s="49">
        <v>19.73</v>
      </c>
      <c r="Z44" s="51">
        <v>280</v>
      </c>
      <c r="AA44" s="51">
        <f>Table1[[#This Row],[BASE PRICE]]-Table1[[#This Row],[P Base Price]]</f>
        <v>35</v>
      </c>
      <c r="AB44" s="52">
        <v>355</v>
      </c>
      <c r="AC44" s="52">
        <f>Table1[[#This Row],[SALES VOL]]*Table1[[#This Row],[SALES PRICE]]</f>
        <v>7004.1500000000005</v>
      </c>
      <c r="AD44" s="53">
        <f>Table1[[#This Row],[SALES VALUE]]*10%</f>
        <v>700.41500000000008</v>
      </c>
      <c r="AE44" s="52">
        <v>294.12184831232207</v>
      </c>
      <c r="AF44" s="53">
        <f>Table1[[#This Row],[SALES VOL]]*Table1[[#This Row],[INV. PRICE]]</f>
        <v>5803.0240672021146</v>
      </c>
    </row>
    <row r="45" spans="1:32" ht="15" customHeight="1" x14ac:dyDescent="0.2">
      <c r="A45" s="1" t="s">
        <v>39</v>
      </c>
      <c r="B45" s="1">
        <v>2025</v>
      </c>
      <c r="C45" s="8">
        <v>45690</v>
      </c>
      <c r="D45" s="1" t="s">
        <v>51</v>
      </c>
      <c r="E45" s="1" t="s">
        <v>59</v>
      </c>
      <c r="F45" s="3">
        <v>45693</v>
      </c>
      <c r="G45" s="3">
        <v>45745</v>
      </c>
      <c r="H45" s="3" t="s">
        <v>113</v>
      </c>
      <c r="I45" s="7" t="s">
        <v>43</v>
      </c>
      <c r="J45" s="5" t="s">
        <v>91</v>
      </c>
      <c r="K45" s="6">
        <v>2.25</v>
      </c>
      <c r="L45" s="6">
        <v>63.22</v>
      </c>
      <c r="M45" s="7">
        <v>22</v>
      </c>
      <c r="N45" s="1">
        <v>388</v>
      </c>
      <c r="O45" s="37">
        <v>3</v>
      </c>
      <c r="P45" s="37">
        <v>5</v>
      </c>
      <c r="Q45" s="44">
        <v>19.54</v>
      </c>
      <c r="R45" s="59">
        <v>2</v>
      </c>
      <c r="S45" s="59">
        <f>Table1[[#This Row],[GROSS VOL]]/Table1[[#This Row],[PCS]]*35.315</f>
        <v>2.0023969072164949</v>
      </c>
      <c r="T45" s="38">
        <v>245</v>
      </c>
      <c r="U45" s="38">
        <v>245</v>
      </c>
      <c r="V45" s="39">
        <f>Table1[[#This Row],[Purchase Volume]]*Table1[[#This Row],[Purchase Price]]</f>
        <v>4787.3</v>
      </c>
      <c r="W45" s="50">
        <v>3</v>
      </c>
      <c r="X45" s="50">
        <v>5</v>
      </c>
      <c r="Y45" s="49">
        <v>19.54</v>
      </c>
      <c r="Z45" s="51">
        <v>280</v>
      </c>
      <c r="AA45" s="51">
        <f>Table1[[#This Row],[BASE PRICE]]-Table1[[#This Row],[P Base Price]]</f>
        <v>35</v>
      </c>
      <c r="AB45" s="52">
        <v>280</v>
      </c>
      <c r="AC45" s="52">
        <f>Table1[[#This Row],[SALES VOL]]*Table1[[#This Row],[SALES PRICE]]</f>
        <v>5471.2</v>
      </c>
      <c r="AD45" s="53">
        <f>Table1[[#This Row],[SALES VALUE]]*10%</f>
        <v>547.12</v>
      </c>
      <c r="AE45" s="52">
        <v>294.12184831232207</v>
      </c>
      <c r="AF45" s="53">
        <f>Table1[[#This Row],[SALES VOL]]*Table1[[#This Row],[INV. PRICE]]</f>
        <v>5747.1409160227731</v>
      </c>
    </row>
    <row r="46" spans="1:32" ht="15" customHeight="1" x14ac:dyDescent="0.2">
      <c r="A46" s="1" t="s">
        <v>39</v>
      </c>
      <c r="B46" s="1">
        <v>2025</v>
      </c>
      <c r="C46" s="8">
        <v>45690</v>
      </c>
      <c r="D46" s="1" t="s">
        <v>51</v>
      </c>
      <c r="E46" s="1" t="s">
        <v>59</v>
      </c>
      <c r="F46" s="3">
        <v>45693</v>
      </c>
      <c r="G46" s="3">
        <v>45745</v>
      </c>
      <c r="H46" s="3" t="s">
        <v>113</v>
      </c>
      <c r="I46" s="7" t="s">
        <v>43</v>
      </c>
      <c r="J46" s="5" t="s">
        <v>92</v>
      </c>
      <c r="K46" s="6">
        <v>2.25</v>
      </c>
      <c r="L46" s="6">
        <v>65.930000000000007</v>
      </c>
      <c r="M46" s="7">
        <v>22.14</v>
      </c>
      <c r="N46" s="1">
        <v>361</v>
      </c>
      <c r="O46" s="37">
        <v>3</v>
      </c>
      <c r="P46" s="37">
        <v>5</v>
      </c>
      <c r="Q46" s="44">
        <v>19.73</v>
      </c>
      <c r="R46" s="59">
        <v>2.17</v>
      </c>
      <c r="S46" s="59">
        <f>Table1[[#This Row],[GROSS VOL]]/Table1[[#This Row],[PCS]]*35.315</f>
        <v>2.1658562326869806</v>
      </c>
      <c r="T46" s="38">
        <v>245</v>
      </c>
      <c r="U46" s="38">
        <v>245</v>
      </c>
      <c r="V46" s="39">
        <f>Table1[[#This Row],[Purchase Volume]]*Table1[[#This Row],[Purchase Price]]</f>
        <v>4833.8500000000004</v>
      </c>
      <c r="W46" s="50">
        <v>3</v>
      </c>
      <c r="X46" s="50">
        <v>5</v>
      </c>
      <c r="Y46" s="49">
        <v>19.73</v>
      </c>
      <c r="Z46" s="51">
        <v>280</v>
      </c>
      <c r="AA46" s="51">
        <f>Table1[[#This Row],[BASE PRICE]]-Table1[[#This Row],[P Base Price]]</f>
        <v>35</v>
      </c>
      <c r="AB46" s="52">
        <v>280</v>
      </c>
      <c r="AC46" s="52">
        <f>Table1[[#This Row],[SALES VOL]]*Table1[[#This Row],[SALES PRICE]]</f>
        <v>5524.4000000000005</v>
      </c>
      <c r="AD46" s="53">
        <f>Table1[[#This Row],[SALES VALUE]]*10%</f>
        <v>552.44000000000005</v>
      </c>
      <c r="AE46" s="52">
        <v>294.12184831232207</v>
      </c>
      <c r="AF46" s="53">
        <f>Table1[[#This Row],[SALES VOL]]*Table1[[#This Row],[INV. PRICE]]</f>
        <v>5803.0240672021146</v>
      </c>
    </row>
    <row r="47" spans="1:32" ht="15" customHeight="1" x14ac:dyDescent="0.2">
      <c r="A47" s="1" t="s">
        <v>39</v>
      </c>
      <c r="B47" s="1">
        <v>2025</v>
      </c>
      <c r="C47" s="8">
        <v>45690</v>
      </c>
      <c r="D47" s="1" t="s">
        <v>51</v>
      </c>
      <c r="E47" s="1" t="s">
        <v>59</v>
      </c>
      <c r="F47" s="3">
        <v>45693</v>
      </c>
      <c r="G47" s="3">
        <v>45745</v>
      </c>
      <c r="H47" s="3" t="s">
        <v>113</v>
      </c>
      <c r="I47" s="7" t="s">
        <v>43</v>
      </c>
      <c r="J47" s="5" t="s">
        <v>93</v>
      </c>
      <c r="K47" s="6">
        <v>2.25</v>
      </c>
      <c r="L47" s="6">
        <v>81.459999999999994</v>
      </c>
      <c r="M47" s="7">
        <v>21.61</v>
      </c>
      <c r="N47" s="1">
        <v>229</v>
      </c>
      <c r="O47" s="37">
        <v>3</v>
      </c>
      <c r="P47" s="37">
        <v>5</v>
      </c>
      <c r="Q47" s="44">
        <v>19.62</v>
      </c>
      <c r="R47" s="59">
        <v>3.33</v>
      </c>
      <c r="S47" s="59">
        <f>Table1[[#This Row],[GROSS VOL]]/Table1[[#This Row],[PCS]]*35.315</f>
        <v>3.3325639737991262</v>
      </c>
      <c r="T47" s="38">
        <v>245</v>
      </c>
      <c r="U47" s="38">
        <v>320</v>
      </c>
      <c r="V47" s="39">
        <f>Table1[[#This Row],[Purchase Volume]]*Table1[[#This Row],[Purchase Price]]</f>
        <v>6278.4000000000005</v>
      </c>
      <c r="W47" s="50">
        <v>3</v>
      </c>
      <c r="X47" s="50">
        <v>5</v>
      </c>
      <c r="Y47" s="49">
        <v>19.62</v>
      </c>
      <c r="Z47" s="51">
        <v>280</v>
      </c>
      <c r="AA47" s="51">
        <f>Table1[[#This Row],[BASE PRICE]]-Table1[[#This Row],[P Base Price]]</f>
        <v>35</v>
      </c>
      <c r="AB47" s="52">
        <v>355</v>
      </c>
      <c r="AC47" s="52">
        <f>Table1[[#This Row],[SALES VOL]]*Table1[[#This Row],[SALES PRICE]]</f>
        <v>6965.1</v>
      </c>
      <c r="AD47" s="53">
        <f>Table1[[#This Row],[SALES VALUE]]*10%</f>
        <v>696.5100000000001</v>
      </c>
      <c r="AE47" s="52">
        <v>294.12184831232207</v>
      </c>
      <c r="AF47" s="53">
        <f>Table1[[#This Row],[SALES VOL]]*Table1[[#This Row],[INV. PRICE]]</f>
        <v>5770.6706638877595</v>
      </c>
    </row>
    <row r="48" spans="1:32" ht="15" customHeight="1" x14ac:dyDescent="0.2">
      <c r="A48" s="1"/>
      <c r="B48" s="1"/>
      <c r="C48" s="8"/>
      <c r="D48" s="1"/>
      <c r="E48" s="1"/>
      <c r="F48" s="3"/>
      <c r="G48" s="3"/>
      <c r="H48" s="3"/>
      <c r="I48" s="7"/>
      <c r="J48" s="5"/>
      <c r="K48" s="6"/>
      <c r="L48" s="6"/>
      <c r="M48" s="7"/>
      <c r="N48" s="1"/>
      <c r="O48" s="37"/>
      <c r="P48" s="37"/>
      <c r="Q48" s="44"/>
      <c r="R48" s="59"/>
      <c r="S48" s="59"/>
      <c r="T48" s="38"/>
      <c r="U48" s="38"/>
      <c r="V48" s="39">
        <f>Table1[[#This Row],[Purchase Volume]]*Table1[[#This Row],[Purchase Price]]</f>
        <v>0</v>
      </c>
      <c r="W48" s="50"/>
      <c r="X48" s="50"/>
      <c r="Y48" s="49"/>
      <c r="Z48" s="51"/>
      <c r="AA48" s="51">
        <f>Table1[[#This Row],[BASE PRICE]]-Table1[[#This Row],[P Base Price]]</f>
        <v>0</v>
      </c>
      <c r="AB48" s="52"/>
      <c r="AC48" s="52">
        <f>Table1[[#This Row],[SALES VOL]]*Table1[[#This Row],[SALES PRICE]]</f>
        <v>0</v>
      </c>
      <c r="AD48" s="53">
        <f>Table1[[#This Row],[SALES VALUE]]*10%</f>
        <v>0</v>
      </c>
      <c r="AE48" s="52"/>
      <c r="AF48" s="53">
        <f>Table1[[#This Row],[SALES VOL]]*Table1[[#This Row],[INV. PRICE]]</f>
        <v>0</v>
      </c>
    </row>
    <row r="49" spans="1:32" ht="15" customHeight="1" x14ac:dyDescent="0.2">
      <c r="A49" s="1" t="s">
        <v>39</v>
      </c>
      <c r="B49" s="1">
        <v>2025</v>
      </c>
      <c r="C49" s="8">
        <v>45690</v>
      </c>
      <c r="D49" s="1" t="s">
        <v>52</v>
      </c>
      <c r="E49" s="1" t="s">
        <v>60</v>
      </c>
      <c r="F49" s="3" t="s">
        <v>6</v>
      </c>
      <c r="G49" s="3" t="s">
        <v>6</v>
      </c>
      <c r="H49" s="3" t="s">
        <v>114</v>
      </c>
      <c r="I49" s="7" t="s">
        <v>44</v>
      </c>
      <c r="J49" s="5" t="s">
        <v>94</v>
      </c>
      <c r="K49" s="6">
        <v>8.48</v>
      </c>
      <c r="L49" s="6">
        <v>85</v>
      </c>
      <c r="M49" s="7">
        <v>19.799000000000003</v>
      </c>
      <c r="N49" s="1">
        <v>50</v>
      </c>
      <c r="O49" s="37">
        <v>3</v>
      </c>
      <c r="P49" s="37">
        <v>5</v>
      </c>
      <c r="Q49" s="44">
        <v>18.344999999999999</v>
      </c>
      <c r="R49" s="59">
        <v>13.98</v>
      </c>
      <c r="S49" s="59">
        <f>Table1[[#This Row],[GROSS VOL]]/Table1[[#This Row],[PCS]]*35.315</f>
        <v>13.984033700000001</v>
      </c>
      <c r="T49" s="38">
        <v>300</v>
      </c>
      <c r="U49" s="38">
        <v>444.10590820367594</v>
      </c>
      <c r="V49" s="39">
        <f>Table1[[#This Row],[Purchase Volume]]*Table1[[#This Row],[Purchase Price]]</f>
        <v>8147.1228859964349</v>
      </c>
      <c r="W49" s="50">
        <v>3</v>
      </c>
      <c r="X49" s="50">
        <v>5</v>
      </c>
      <c r="Y49" s="49">
        <v>18.344999999999999</v>
      </c>
      <c r="Z49" s="51">
        <v>330</v>
      </c>
      <c r="AA49" s="51">
        <f>Table1[[#This Row],[BASE PRICE]]-Table1[[#This Row],[P Base Price]]</f>
        <v>30</v>
      </c>
      <c r="AB49" s="52">
        <v>480</v>
      </c>
      <c r="AC49" s="52">
        <f>Table1[[#This Row],[SALES VOL]]*Table1[[#This Row],[SALES PRICE]]</f>
        <v>8805.5999999999985</v>
      </c>
      <c r="AD49" s="53">
        <f>Table1[[#This Row],[SALES VALUE]]*10%</f>
        <v>880.56</v>
      </c>
      <c r="AE49" s="52">
        <v>323.04682616691673</v>
      </c>
      <c r="AF49" s="53">
        <f>Table1[[#This Row],[SALES VOL]]*Table1[[#This Row],[INV. PRICE]]</f>
        <v>5926.2940260320875</v>
      </c>
    </row>
    <row r="50" spans="1:32" ht="15" customHeight="1" x14ac:dyDescent="0.2">
      <c r="A50" s="1" t="s">
        <v>39</v>
      </c>
      <c r="B50" s="1">
        <v>2025</v>
      </c>
      <c r="C50" s="8">
        <v>45690</v>
      </c>
      <c r="D50" s="1" t="s">
        <v>52</v>
      </c>
      <c r="E50" s="1" t="s">
        <v>60</v>
      </c>
      <c r="F50" s="3" t="s">
        <v>6</v>
      </c>
      <c r="G50" s="3" t="s">
        <v>6</v>
      </c>
      <c r="H50" s="3" t="s">
        <v>114</v>
      </c>
      <c r="I50" s="7" t="s">
        <v>43</v>
      </c>
      <c r="J50" s="5" t="s">
        <v>95</v>
      </c>
      <c r="K50" s="6">
        <v>2.2400000000000002</v>
      </c>
      <c r="L50" s="6">
        <v>67</v>
      </c>
      <c r="M50" s="7">
        <v>20.274000000000004</v>
      </c>
      <c r="N50" s="1">
        <v>315</v>
      </c>
      <c r="O50" s="37">
        <v>3</v>
      </c>
      <c r="P50" s="37">
        <v>5</v>
      </c>
      <c r="Q50" s="44">
        <v>18.102999999999994</v>
      </c>
      <c r="R50" s="59">
        <v>2.27</v>
      </c>
      <c r="S50" s="59">
        <f>Table1[[#This Row],[GROSS VOL]]/Table1[[#This Row],[PCS]]*35.315</f>
        <v>2.2729406666666669</v>
      </c>
      <c r="T50" s="38">
        <v>245</v>
      </c>
      <c r="U50" s="38">
        <v>259.10590820367594</v>
      </c>
      <c r="V50" s="39">
        <f>Table1[[#This Row],[Purchase Volume]]*Table1[[#This Row],[Purchase Price]]</f>
        <v>4690.5942562111441</v>
      </c>
      <c r="W50" s="50">
        <v>3</v>
      </c>
      <c r="X50" s="50">
        <v>5</v>
      </c>
      <c r="Y50" s="49">
        <v>18.102999999999994</v>
      </c>
      <c r="Z50" s="51">
        <v>280</v>
      </c>
      <c r="AA50" s="51">
        <f>Table1[[#This Row],[BASE PRICE]]-Table1[[#This Row],[P Base Price]]</f>
        <v>35</v>
      </c>
      <c r="AB50" s="52">
        <v>295</v>
      </c>
      <c r="AC50" s="52">
        <f>Table1[[#This Row],[SALES VOL]]*Table1[[#This Row],[SALES PRICE]]</f>
        <v>5340.3849999999984</v>
      </c>
      <c r="AD50" s="53">
        <f>Table1[[#This Row],[SALES VALUE]]*10%</f>
        <v>534.03849999999989</v>
      </c>
      <c r="AE50" s="52">
        <v>323.04682616691673</v>
      </c>
      <c r="AF50" s="53">
        <f>Table1[[#This Row],[SALES VOL]]*Table1[[#This Row],[INV. PRICE]]</f>
        <v>5848.1166940996918</v>
      </c>
    </row>
    <row r="51" spans="1:32" ht="15" customHeight="1" x14ac:dyDescent="0.2">
      <c r="A51" s="1" t="s">
        <v>39</v>
      </c>
      <c r="B51" s="1">
        <v>2025</v>
      </c>
      <c r="C51" s="8">
        <v>45690</v>
      </c>
      <c r="D51" s="1" t="s">
        <v>52</v>
      </c>
      <c r="E51" s="1" t="s">
        <v>60</v>
      </c>
      <c r="F51" s="3" t="s">
        <v>6</v>
      </c>
      <c r="G51" s="3" t="s">
        <v>6</v>
      </c>
      <c r="H51" s="3" t="s">
        <v>114</v>
      </c>
      <c r="I51" s="7" t="s">
        <v>43</v>
      </c>
      <c r="J51" s="5" t="s">
        <v>96</v>
      </c>
      <c r="K51" s="6">
        <v>2.19</v>
      </c>
      <c r="L51" s="6">
        <v>69</v>
      </c>
      <c r="M51" s="7">
        <v>19.755000000000003</v>
      </c>
      <c r="N51" s="1">
        <v>288</v>
      </c>
      <c r="O51" s="37">
        <v>3</v>
      </c>
      <c r="P51" s="37">
        <v>5</v>
      </c>
      <c r="Q51" s="44">
        <v>17.726999999999997</v>
      </c>
      <c r="R51" s="59">
        <v>2.42</v>
      </c>
      <c r="S51" s="59">
        <f>Table1[[#This Row],[GROSS VOL]]/Table1[[#This Row],[PCS]]*35.315</f>
        <v>2.4223882812499999</v>
      </c>
      <c r="T51" s="38">
        <v>245</v>
      </c>
      <c r="U51" s="38">
        <v>259.10590820367594</v>
      </c>
      <c r="V51" s="39">
        <f>Table1[[#This Row],[Purchase Volume]]*Table1[[#This Row],[Purchase Price]]</f>
        <v>4593.1704347265622</v>
      </c>
      <c r="W51" s="50">
        <v>3</v>
      </c>
      <c r="X51" s="50">
        <v>5</v>
      </c>
      <c r="Y51" s="49">
        <v>17.726999999999997</v>
      </c>
      <c r="Z51" s="51">
        <v>280</v>
      </c>
      <c r="AA51" s="51">
        <f>Table1[[#This Row],[BASE PRICE]]-Table1[[#This Row],[P Base Price]]</f>
        <v>35</v>
      </c>
      <c r="AB51" s="52">
        <v>295</v>
      </c>
      <c r="AC51" s="52">
        <f>Table1[[#This Row],[SALES VOL]]*Table1[[#This Row],[SALES PRICE]]</f>
        <v>5229.4649999999992</v>
      </c>
      <c r="AD51" s="53">
        <f>Table1[[#This Row],[SALES VALUE]]*10%</f>
        <v>522.9464999999999</v>
      </c>
      <c r="AE51" s="52">
        <v>323.04682616691673</v>
      </c>
      <c r="AF51" s="53">
        <f>Table1[[#This Row],[SALES VOL]]*Table1[[#This Row],[INV. PRICE]]</f>
        <v>5726.6510874609321</v>
      </c>
    </row>
    <row r="52" spans="1:32" ht="15" customHeight="1" x14ac:dyDescent="0.2">
      <c r="A52" s="1" t="s">
        <v>39</v>
      </c>
      <c r="B52" s="1">
        <v>2025</v>
      </c>
      <c r="C52" s="8">
        <v>45690</v>
      </c>
      <c r="D52" s="1" t="s">
        <v>52</v>
      </c>
      <c r="E52" s="1" t="s">
        <v>60</v>
      </c>
      <c r="F52" s="3" t="s">
        <v>6</v>
      </c>
      <c r="G52" s="3" t="s">
        <v>6</v>
      </c>
      <c r="H52" s="3" t="s">
        <v>114</v>
      </c>
      <c r="I52" s="7" t="s">
        <v>44</v>
      </c>
      <c r="J52" s="5" t="s">
        <v>97</v>
      </c>
      <c r="K52" s="6">
        <v>7.45</v>
      </c>
      <c r="L52" s="6">
        <v>79</v>
      </c>
      <c r="M52" s="7">
        <v>18.332000000000004</v>
      </c>
      <c r="N52" s="1">
        <v>60</v>
      </c>
      <c r="O52" s="37">
        <v>3</v>
      </c>
      <c r="P52" s="37">
        <v>5</v>
      </c>
      <c r="Q52" s="44">
        <v>16.898</v>
      </c>
      <c r="R52" s="59">
        <v>10.79</v>
      </c>
      <c r="S52" s="59">
        <f>Table1[[#This Row],[GROSS VOL]]/Table1[[#This Row],[PCS]]*35.315</f>
        <v>10.789909666666668</v>
      </c>
      <c r="T52" s="38">
        <v>300</v>
      </c>
      <c r="U52" s="38">
        <v>384.10590820367594</v>
      </c>
      <c r="V52" s="39">
        <f>Table1[[#This Row],[Purchase Volume]]*Table1[[#This Row],[Purchase Price]]</f>
        <v>6490.6216368257155</v>
      </c>
      <c r="W52" s="50">
        <v>3</v>
      </c>
      <c r="X52" s="50">
        <v>5</v>
      </c>
      <c r="Y52" s="49">
        <v>16.898</v>
      </c>
      <c r="Z52" s="51">
        <v>330</v>
      </c>
      <c r="AA52" s="51">
        <f>Table1[[#This Row],[BASE PRICE]]-Table1[[#This Row],[P Base Price]]</f>
        <v>30</v>
      </c>
      <c r="AB52" s="52">
        <v>420</v>
      </c>
      <c r="AC52" s="52">
        <f>Table1[[#This Row],[SALES VOL]]*Table1[[#This Row],[SALES PRICE]]</f>
        <v>7097.16</v>
      </c>
      <c r="AD52" s="53">
        <f>Table1[[#This Row],[SALES VALUE]]*10%</f>
        <v>709.71600000000001</v>
      </c>
      <c r="AE52" s="52">
        <v>323.04682616691673</v>
      </c>
      <c r="AF52" s="53">
        <f>Table1[[#This Row],[SALES VOL]]*Table1[[#This Row],[INV. PRICE]]</f>
        <v>5458.8452685685588</v>
      </c>
    </row>
    <row r="53" spans="1:32" ht="15" customHeight="1" x14ac:dyDescent="0.2">
      <c r="A53" s="1" t="s">
        <v>39</v>
      </c>
      <c r="B53" s="1">
        <v>2025</v>
      </c>
      <c r="C53" s="8">
        <v>45690</v>
      </c>
      <c r="D53" s="1" t="s">
        <v>52</v>
      </c>
      <c r="E53" s="1" t="s">
        <v>60</v>
      </c>
      <c r="F53" s="3" t="s">
        <v>6</v>
      </c>
      <c r="G53" s="3" t="s">
        <v>6</v>
      </c>
      <c r="H53" s="3" t="s">
        <v>114</v>
      </c>
      <c r="I53" s="7" t="s">
        <v>43</v>
      </c>
      <c r="J53" s="5" t="s">
        <v>98</v>
      </c>
      <c r="K53" s="6">
        <v>2.2000000000000002</v>
      </c>
      <c r="L53" s="6">
        <v>67</v>
      </c>
      <c r="M53" s="7">
        <v>6.5210000000000008</v>
      </c>
      <c r="N53" s="1">
        <v>103</v>
      </c>
      <c r="O53" s="37">
        <v>3</v>
      </c>
      <c r="P53" s="37">
        <v>5</v>
      </c>
      <c r="Q53" s="44">
        <v>5.8189999999999982</v>
      </c>
      <c r="R53" s="59">
        <v>2.2400000000000002</v>
      </c>
      <c r="S53" s="59">
        <f>Table1[[#This Row],[GROSS VOL]]/Table1[[#This Row],[PCS]]*35.315</f>
        <v>2.2358166504854369</v>
      </c>
      <c r="T53" s="38">
        <v>245</v>
      </c>
      <c r="U53" s="38">
        <v>244.10590820367591</v>
      </c>
      <c r="V53" s="39">
        <f>Table1[[#This Row],[Purchase Volume]]*Table1[[#This Row],[Purchase Price]]</f>
        <v>1420.4522798371897</v>
      </c>
      <c r="W53" s="50">
        <v>3</v>
      </c>
      <c r="X53" s="50">
        <v>5</v>
      </c>
      <c r="Y53" s="49">
        <v>5.8189999999999982</v>
      </c>
      <c r="Z53" s="51">
        <v>280</v>
      </c>
      <c r="AA53" s="51">
        <f>Table1[[#This Row],[BASE PRICE]]-Table1[[#This Row],[P Base Price]]</f>
        <v>35</v>
      </c>
      <c r="AB53" s="52">
        <v>280</v>
      </c>
      <c r="AC53" s="52">
        <f>Table1[[#This Row],[SALES VOL]]*Table1[[#This Row],[SALES PRICE]]</f>
        <v>1629.3199999999995</v>
      </c>
      <c r="AD53" s="53">
        <f>Table1[[#This Row],[SALES VALUE]]*10%</f>
        <v>162.93199999999996</v>
      </c>
      <c r="AE53" s="52">
        <v>323.04682616691673</v>
      </c>
      <c r="AF53" s="53">
        <f>Table1[[#This Row],[SALES VOL]]*Table1[[#This Row],[INV. PRICE]]</f>
        <v>1879.8094814652879</v>
      </c>
    </row>
    <row r="54" spans="1:32" ht="15" customHeight="1" x14ac:dyDescent="0.2">
      <c r="A54" s="1" t="s">
        <v>39</v>
      </c>
      <c r="B54" s="1">
        <v>2025</v>
      </c>
      <c r="C54" s="8">
        <v>45690</v>
      </c>
      <c r="D54" s="1" t="s">
        <v>52</v>
      </c>
      <c r="E54" s="1" t="s">
        <v>60</v>
      </c>
      <c r="F54" s="3" t="s">
        <v>6</v>
      </c>
      <c r="G54" s="3" t="s">
        <v>6</v>
      </c>
      <c r="H54" s="3" t="s">
        <v>114</v>
      </c>
      <c r="I54" s="7" t="s">
        <v>104</v>
      </c>
      <c r="J54" s="5" t="s">
        <v>99</v>
      </c>
      <c r="K54" s="6">
        <v>5.28</v>
      </c>
      <c r="L54" s="6">
        <v>70</v>
      </c>
      <c r="M54" s="7">
        <v>19.638999999999999</v>
      </c>
      <c r="N54" s="1">
        <v>120</v>
      </c>
      <c r="O54" s="37">
        <v>3</v>
      </c>
      <c r="P54" s="37">
        <v>5</v>
      </c>
      <c r="Q54" s="44">
        <v>17.832999999999995</v>
      </c>
      <c r="R54" s="59">
        <v>5.78</v>
      </c>
      <c r="S54" s="59">
        <f>Table1[[#This Row],[GROSS VOL]]/Table1[[#This Row],[PCS]]*35.315</f>
        <v>5.779594041666666</v>
      </c>
      <c r="T54" s="38">
        <v>285</v>
      </c>
      <c r="U54" s="38">
        <v>339.10590820367594</v>
      </c>
      <c r="V54" s="39">
        <f>Table1[[#This Row],[Purchase Volume]]*Table1[[#This Row],[Purchase Price]]</f>
        <v>6047.2756609961516</v>
      </c>
      <c r="W54" s="50">
        <v>3</v>
      </c>
      <c r="X54" s="50">
        <v>5</v>
      </c>
      <c r="Y54" s="49">
        <v>17.832999999999995</v>
      </c>
      <c r="Z54" s="51">
        <v>315</v>
      </c>
      <c r="AA54" s="51">
        <f>Table1[[#This Row],[BASE PRICE]]-Table1[[#This Row],[P Base Price]]</f>
        <v>30</v>
      </c>
      <c r="AB54" s="52">
        <v>375</v>
      </c>
      <c r="AC54" s="52">
        <f>Table1[[#This Row],[SALES VOL]]*Table1[[#This Row],[SALES PRICE]]</f>
        <v>6687.3749999999982</v>
      </c>
      <c r="AD54" s="53">
        <f>Table1[[#This Row],[SALES VALUE]]*10%</f>
        <v>668.73749999999984</v>
      </c>
      <c r="AE54" s="52">
        <v>323.04682616691673</v>
      </c>
      <c r="AF54" s="53">
        <f>Table1[[#This Row],[SALES VOL]]*Table1[[#This Row],[INV. PRICE]]</f>
        <v>5760.8940510346247</v>
      </c>
    </row>
    <row r="55" spans="1:32" ht="15" customHeight="1" x14ac:dyDescent="0.2">
      <c r="A55" s="1" t="s">
        <v>39</v>
      </c>
      <c r="B55" s="1">
        <v>2025</v>
      </c>
      <c r="C55" s="8">
        <v>45690</v>
      </c>
      <c r="D55" s="1" t="s">
        <v>52</v>
      </c>
      <c r="E55" s="1" t="s">
        <v>60</v>
      </c>
      <c r="F55" s="3" t="s">
        <v>6</v>
      </c>
      <c r="G55" s="3" t="s">
        <v>6</v>
      </c>
      <c r="H55" s="3" t="s">
        <v>114</v>
      </c>
      <c r="I55" s="7" t="s">
        <v>44</v>
      </c>
      <c r="J55" s="5"/>
      <c r="K55" s="6">
        <v>7.38</v>
      </c>
      <c r="L55" s="6">
        <v>83</v>
      </c>
      <c r="M55" s="7">
        <v>12.625000000000004</v>
      </c>
      <c r="N55" s="1">
        <v>39</v>
      </c>
      <c r="O55" s="37">
        <v>3</v>
      </c>
      <c r="P55" s="37">
        <v>5</v>
      </c>
      <c r="Q55" s="44">
        <v>11.657999999999999</v>
      </c>
      <c r="R55" s="59">
        <v>11.43</v>
      </c>
      <c r="S55" s="59">
        <f>Table1[[#This Row],[GROSS VOL]]/Table1[[#This Row],[PCS]]*35.315</f>
        <v>11.43209935897436</v>
      </c>
      <c r="T55" s="38">
        <v>300</v>
      </c>
      <c r="U55" s="38">
        <v>414.10590820367594</v>
      </c>
      <c r="V55" s="39">
        <f>Table1[[#This Row],[Purchase Volume]]*Table1[[#This Row],[Purchase Price]]</f>
        <v>4827.6466778384538</v>
      </c>
      <c r="W55" s="50">
        <v>3</v>
      </c>
      <c r="X55" s="50">
        <v>5</v>
      </c>
      <c r="Y55" s="49">
        <v>11.657999999999999</v>
      </c>
      <c r="Z55" s="51">
        <v>330</v>
      </c>
      <c r="AA55" s="51">
        <f>Table1[[#This Row],[BASE PRICE]]-Table1[[#This Row],[P Base Price]]</f>
        <v>30</v>
      </c>
      <c r="AB55" s="52">
        <v>450</v>
      </c>
      <c r="AC55" s="52">
        <f>Table1[[#This Row],[SALES VOL]]*Table1[[#This Row],[SALES PRICE]]</f>
        <v>5246.0999999999995</v>
      </c>
      <c r="AD55" s="53">
        <f>Table1[[#This Row],[SALES VALUE]]*10%</f>
        <v>524.61</v>
      </c>
      <c r="AE55" s="52">
        <v>323.04682616691673</v>
      </c>
      <c r="AF55" s="53">
        <f>Table1[[#This Row],[SALES VOL]]*Table1[[#This Row],[INV. PRICE]]</f>
        <v>3766.079899453915</v>
      </c>
    </row>
    <row r="56" spans="1:32" ht="15" customHeight="1" x14ac:dyDescent="0.2">
      <c r="A56" s="1" t="s">
        <v>39</v>
      </c>
      <c r="B56" s="1">
        <v>2025</v>
      </c>
      <c r="C56" s="8">
        <v>45690</v>
      </c>
      <c r="D56" s="1" t="s">
        <v>52</v>
      </c>
      <c r="E56" s="1" t="s">
        <v>60</v>
      </c>
      <c r="F56" s="3" t="s">
        <v>6</v>
      </c>
      <c r="G56" s="3" t="s">
        <v>6</v>
      </c>
      <c r="H56" s="3" t="s">
        <v>114</v>
      </c>
      <c r="I56" s="7" t="s">
        <v>43</v>
      </c>
      <c r="J56" s="5" t="s">
        <v>100</v>
      </c>
      <c r="K56" s="6">
        <v>2.2400000000000002</v>
      </c>
      <c r="L56" s="6">
        <v>61</v>
      </c>
      <c r="M56" s="7">
        <v>19.860000000000007</v>
      </c>
      <c r="N56" s="1">
        <v>361</v>
      </c>
      <c r="O56" s="37">
        <v>3</v>
      </c>
      <c r="P56" s="37">
        <v>5</v>
      </c>
      <c r="Q56" s="44">
        <v>17.624000000000002</v>
      </c>
      <c r="R56" s="59">
        <v>1.94</v>
      </c>
      <c r="S56" s="59">
        <f>Table1[[#This Row],[GROSS VOL]]/Table1[[#This Row],[PCS]]*35.315</f>
        <v>1.9428141274238231</v>
      </c>
      <c r="T56" s="38">
        <v>245</v>
      </c>
      <c r="U56" s="38">
        <v>229.10590820367591</v>
      </c>
      <c r="V56" s="39">
        <f>Table1[[#This Row],[Purchase Volume]]*Table1[[#This Row],[Purchase Price]]</f>
        <v>4037.7625261815847</v>
      </c>
      <c r="W56" s="50">
        <v>3</v>
      </c>
      <c r="X56" s="50">
        <v>5</v>
      </c>
      <c r="Y56" s="49">
        <v>17.624000000000002</v>
      </c>
      <c r="Z56" s="51">
        <v>280</v>
      </c>
      <c r="AA56" s="51">
        <f>Table1[[#This Row],[BASE PRICE]]-Table1[[#This Row],[P Base Price]]</f>
        <v>35</v>
      </c>
      <c r="AB56" s="52">
        <v>265</v>
      </c>
      <c r="AC56" s="52">
        <f>Table1[[#This Row],[SALES VOL]]*Table1[[#This Row],[SALES PRICE]]</f>
        <v>4670.3600000000006</v>
      </c>
      <c r="AD56" s="53">
        <f>Table1[[#This Row],[SALES VALUE]]*10%</f>
        <v>467.03600000000006</v>
      </c>
      <c r="AE56" s="52">
        <v>323.04682616691673</v>
      </c>
      <c r="AF56" s="53">
        <f>Table1[[#This Row],[SALES VOL]]*Table1[[#This Row],[INV. PRICE]]</f>
        <v>5693.3772643657412</v>
      </c>
    </row>
    <row r="57" spans="1:32" ht="15" customHeight="1" x14ac:dyDescent="0.2">
      <c r="A57" s="1" t="s">
        <v>39</v>
      </c>
      <c r="B57" s="1">
        <v>2025</v>
      </c>
      <c r="C57" s="8">
        <v>45690</v>
      </c>
      <c r="D57" s="1" t="s">
        <v>52</v>
      </c>
      <c r="E57" s="1" t="s">
        <v>60</v>
      </c>
      <c r="F57" s="3" t="s">
        <v>6</v>
      </c>
      <c r="G57" s="3" t="s">
        <v>6</v>
      </c>
      <c r="H57" s="3" t="s">
        <v>114</v>
      </c>
      <c r="I57" s="7" t="s">
        <v>43</v>
      </c>
      <c r="J57" s="5" t="s">
        <v>101</v>
      </c>
      <c r="K57" s="6">
        <v>2.21</v>
      </c>
      <c r="L57" s="6">
        <v>65</v>
      </c>
      <c r="M57" s="7">
        <v>7.0059999999999985</v>
      </c>
      <c r="N57" s="1">
        <v>115</v>
      </c>
      <c r="O57" s="37">
        <v>3</v>
      </c>
      <c r="P57" s="37">
        <v>5</v>
      </c>
      <c r="Q57" s="44">
        <v>6.2390000000000008</v>
      </c>
      <c r="R57" s="59">
        <v>2.15</v>
      </c>
      <c r="S57" s="59">
        <f>Table1[[#This Row],[GROSS VOL]]/Table1[[#This Row],[PCS]]*35.315</f>
        <v>2.1514512173913038</v>
      </c>
      <c r="T57" s="38">
        <v>245</v>
      </c>
      <c r="U57" s="38">
        <v>244.10590820367591</v>
      </c>
      <c r="V57" s="39">
        <f>Table1[[#This Row],[Purchase Volume]]*Table1[[#This Row],[Purchase Price]]</f>
        <v>1522.9767612827343</v>
      </c>
      <c r="W57" s="50">
        <v>3</v>
      </c>
      <c r="X57" s="50">
        <v>5</v>
      </c>
      <c r="Y57" s="49">
        <v>6.2390000000000008</v>
      </c>
      <c r="Z57" s="51">
        <v>280</v>
      </c>
      <c r="AA57" s="51">
        <f>Table1[[#This Row],[BASE PRICE]]-Table1[[#This Row],[P Base Price]]</f>
        <v>35</v>
      </c>
      <c r="AB57" s="52">
        <v>280</v>
      </c>
      <c r="AC57" s="52">
        <f>Table1[[#This Row],[SALES VOL]]*Table1[[#This Row],[SALES PRICE]]</f>
        <v>1746.9200000000003</v>
      </c>
      <c r="AD57" s="53">
        <f>Table1[[#This Row],[SALES VALUE]]*10%</f>
        <v>174.69200000000004</v>
      </c>
      <c r="AE57" s="52">
        <v>323.04682616691673</v>
      </c>
      <c r="AF57" s="53">
        <f>Table1[[#This Row],[SALES VOL]]*Table1[[#This Row],[INV. PRICE]]</f>
        <v>2015.4891484553937</v>
      </c>
    </row>
    <row r="58" spans="1:32" ht="15" customHeight="1" x14ac:dyDescent="0.2">
      <c r="A58" s="1" t="s">
        <v>39</v>
      </c>
      <c r="B58" s="1">
        <v>2025</v>
      </c>
      <c r="C58" s="8">
        <v>45690</v>
      </c>
      <c r="D58" s="1" t="s">
        <v>52</v>
      </c>
      <c r="E58" s="1" t="s">
        <v>60</v>
      </c>
      <c r="F58" s="3" t="s">
        <v>6</v>
      </c>
      <c r="G58" s="3" t="s">
        <v>6</v>
      </c>
      <c r="H58" s="3" t="s">
        <v>114</v>
      </c>
      <c r="I58" s="7" t="s">
        <v>44</v>
      </c>
      <c r="J58" s="5" t="s">
        <v>102</v>
      </c>
      <c r="K58" s="6">
        <v>8.2100000000000009</v>
      </c>
      <c r="L58" s="6">
        <v>80</v>
      </c>
      <c r="M58" s="7">
        <v>19.746000000000006</v>
      </c>
      <c r="N58" s="1">
        <v>57</v>
      </c>
      <c r="O58" s="37">
        <v>3</v>
      </c>
      <c r="P58" s="37">
        <v>5</v>
      </c>
      <c r="Q58" s="44">
        <v>18.229999999999997</v>
      </c>
      <c r="R58" s="59">
        <v>12.23</v>
      </c>
      <c r="S58" s="59">
        <f>Table1[[#This Row],[GROSS VOL]]/Table1[[#This Row],[PCS]]*35.315</f>
        <v>12.233859473684214</v>
      </c>
      <c r="T58" s="38">
        <v>300</v>
      </c>
      <c r="U58" s="38">
        <v>414.10590820367594</v>
      </c>
      <c r="V58" s="39">
        <f>Table1[[#This Row],[Purchase Volume]]*Table1[[#This Row],[Purchase Price]]</f>
        <v>7549.1507065530113</v>
      </c>
      <c r="W58" s="50">
        <v>3</v>
      </c>
      <c r="X58" s="50">
        <v>5</v>
      </c>
      <c r="Y58" s="49">
        <v>18.229999999999997</v>
      </c>
      <c r="Z58" s="51">
        <v>330</v>
      </c>
      <c r="AA58" s="51">
        <f>Table1[[#This Row],[BASE PRICE]]-Table1[[#This Row],[P Base Price]]</f>
        <v>30</v>
      </c>
      <c r="AB58" s="52">
        <v>450</v>
      </c>
      <c r="AC58" s="52">
        <f>Table1[[#This Row],[SALES VOL]]*Table1[[#This Row],[SALES PRICE]]</f>
        <v>8203.4999999999982</v>
      </c>
      <c r="AD58" s="53">
        <f>Table1[[#This Row],[SALES VALUE]]*10%</f>
        <v>820.34999999999991</v>
      </c>
      <c r="AE58" s="52">
        <v>323.04682616691673</v>
      </c>
      <c r="AF58" s="53">
        <f>Table1[[#This Row],[SALES VOL]]*Table1[[#This Row],[INV. PRICE]]</f>
        <v>5889.1436410228907</v>
      </c>
    </row>
    <row r="59" spans="1:32" ht="15" customHeight="1" x14ac:dyDescent="0.2">
      <c r="A59" s="1" t="s">
        <v>39</v>
      </c>
      <c r="B59" s="1">
        <v>2025</v>
      </c>
      <c r="C59" s="8">
        <v>45690</v>
      </c>
      <c r="D59" s="1" t="s">
        <v>52</v>
      </c>
      <c r="E59" s="1" t="s">
        <v>60</v>
      </c>
      <c r="F59" s="3" t="s">
        <v>6</v>
      </c>
      <c r="G59" s="3" t="s">
        <v>6</v>
      </c>
      <c r="H59" s="3" t="s">
        <v>114</v>
      </c>
      <c r="I59" s="7" t="s">
        <v>44</v>
      </c>
      <c r="J59" s="5"/>
      <c r="K59" s="6">
        <v>6.99</v>
      </c>
      <c r="L59" s="6">
        <v>68</v>
      </c>
      <c r="M59" s="7">
        <v>12.538000000000002</v>
      </c>
      <c r="N59" s="1">
        <v>61</v>
      </c>
      <c r="O59" s="37">
        <v>3</v>
      </c>
      <c r="P59" s="37">
        <v>5</v>
      </c>
      <c r="Q59" s="44">
        <v>11.379000000000003</v>
      </c>
      <c r="R59" s="59">
        <v>7.26</v>
      </c>
      <c r="S59" s="59">
        <f>Table1[[#This Row],[GROSS VOL]]/Table1[[#This Row],[PCS]]*35.315</f>
        <v>7.258679836065574</v>
      </c>
      <c r="T59" s="38">
        <v>300</v>
      </c>
      <c r="U59" s="38">
        <v>324.10590820367594</v>
      </c>
      <c r="V59" s="39">
        <f>Table1[[#This Row],[Purchase Volume]]*Table1[[#This Row],[Purchase Price]]</f>
        <v>3688.0011294496294</v>
      </c>
      <c r="W59" s="50">
        <v>3</v>
      </c>
      <c r="X59" s="50">
        <v>5</v>
      </c>
      <c r="Y59" s="49">
        <v>11.379000000000003</v>
      </c>
      <c r="Z59" s="51">
        <v>330</v>
      </c>
      <c r="AA59" s="51">
        <f>Table1[[#This Row],[BASE PRICE]]-Table1[[#This Row],[P Base Price]]</f>
        <v>30</v>
      </c>
      <c r="AB59" s="52">
        <v>360</v>
      </c>
      <c r="AC59" s="52">
        <f>Table1[[#This Row],[SALES VOL]]*Table1[[#This Row],[SALES PRICE]]</f>
        <v>4096.4400000000014</v>
      </c>
      <c r="AD59" s="53">
        <f>Table1[[#This Row],[SALES VALUE]]*10%</f>
        <v>409.64400000000018</v>
      </c>
      <c r="AE59" s="52">
        <v>323.04682616691673</v>
      </c>
      <c r="AF59" s="53">
        <f>Table1[[#This Row],[SALES VOL]]*Table1[[#This Row],[INV. PRICE]]</f>
        <v>3675.9498349533465</v>
      </c>
    </row>
    <row r="60" spans="1:32" ht="15" customHeight="1" x14ac:dyDescent="0.2">
      <c r="A60" s="1" t="s">
        <v>39</v>
      </c>
      <c r="B60" s="1">
        <v>2025</v>
      </c>
      <c r="C60" s="8">
        <v>45690</v>
      </c>
      <c r="D60" s="1" t="s">
        <v>52</v>
      </c>
      <c r="E60" s="1" t="s">
        <v>60</v>
      </c>
      <c r="F60" s="3" t="s">
        <v>6</v>
      </c>
      <c r="G60" s="3" t="s">
        <v>6</v>
      </c>
      <c r="H60" s="3" t="s">
        <v>114</v>
      </c>
      <c r="I60" s="7" t="s">
        <v>43</v>
      </c>
      <c r="J60" s="5" t="s">
        <v>103</v>
      </c>
      <c r="K60" s="6">
        <v>2.21</v>
      </c>
      <c r="L60" s="6">
        <v>64</v>
      </c>
      <c r="M60" s="7">
        <v>19.559999999999999</v>
      </c>
      <c r="N60" s="1">
        <v>332</v>
      </c>
      <c r="O60" s="37">
        <v>3</v>
      </c>
      <c r="P60" s="37">
        <v>5</v>
      </c>
      <c r="Q60" s="44">
        <v>17.407000000000004</v>
      </c>
      <c r="R60" s="59">
        <v>2.08</v>
      </c>
      <c r="S60" s="59">
        <f>Table1[[#This Row],[GROSS VOL]]/Table1[[#This Row],[PCS]]*35.315</f>
        <v>2.0806066265060239</v>
      </c>
      <c r="T60" s="38">
        <v>245</v>
      </c>
      <c r="U60" s="38">
        <v>244.10590820367591</v>
      </c>
      <c r="V60" s="39">
        <f>Table1[[#This Row],[Purchase Volume]]*Table1[[#This Row],[Purchase Price]]</f>
        <v>4249.1515441013871</v>
      </c>
      <c r="W60" s="50">
        <v>3</v>
      </c>
      <c r="X60" s="50">
        <v>5</v>
      </c>
      <c r="Y60" s="49">
        <v>17.407000000000004</v>
      </c>
      <c r="Z60" s="51">
        <v>280</v>
      </c>
      <c r="AA60" s="51">
        <f>Table1[[#This Row],[BASE PRICE]]-Table1[[#This Row],[P Base Price]]</f>
        <v>35</v>
      </c>
      <c r="AB60" s="52">
        <v>280</v>
      </c>
      <c r="AC60" s="52">
        <f>Table1[[#This Row],[SALES VOL]]*Table1[[#This Row],[SALES PRICE]]</f>
        <v>4873.9600000000009</v>
      </c>
      <c r="AD60" s="53">
        <f>Table1[[#This Row],[SALES VALUE]]*10%</f>
        <v>487.39600000000013</v>
      </c>
      <c r="AE60" s="52">
        <v>323.04682616691673</v>
      </c>
      <c r="AF60" s="53">
        <f>Table1[[#This Row],[SALES VOL]]*Table1[[#This Row],[INV. PRICE]]</f>
        <v>5623.2761030875208</v>
      </c>
    </row>
    <row r="61" spans="1:32" ht="15" customHeight="1" x14ac:dyDescent="0.2">
      <c r="A61" s="1"/>
      <c r="B61" s="1"/>
      <c r="C61" s="8"/>
      <c r="D61" s="1"/>
      <c r="E61" s="1"/>
      <c r="F61" s="3"/>
      <c r="G61" s="3"/>
      <c r="H61" s="3"/>
      <c r="I61" s="7"/>
      <c r="J61" s="5"/>
      <c r="K61" s="6"/>
      <c r="L61" s="6"/>
      <c r="M61" s="7"/>
      <c r="N61" s="1"/>
      <c r="O61" s="37"/>
      <c r="P61" s="37"/>
      <c r="Q61" s="44"/>
      <c r="R61" s="59"/>
      <c r="S61" s="59"/>
      <c r="T61" s="38"/>
      <c r="U61" s="38"/>
      <c r="V61" s="39"/>
      <c r="W61" s="50"/>
      <c r="X61" s="50"/>
      <c r="Y61" s="49"/>
      <c r="Z61" s="51"/>
      <c r="AA61" s="51"/>
      <c r="AB61" s="52"/>
      <c r="AC61" s="52"/>
      <c r="AD61" s="53"/>
      <c r="AE61" s="52"/>
      <c r="AF61" s="53"/>
    </row>
    <row r="62" spans="1:32" ht="15" customHeight="1" x14ac:dyDescent="0.2">
      <c r="A62" s="1" t="s">
        <v>39</v>
      </c>
      <c r="B62" s="1">
        <v>2025</v>
      </c>
      <c r="C62" s="8">
        <v>45695</v>
      </c>
      <c r="D62" s="1" t="s">
        <v>105</v>
      </c>
      <c r="E62" s="1" t="s">
        <v>106</v>
      </c>
      <c r="F62" s="3" t="s">
        <v>6</v>
      </c>
      <c r="G62" s="3" t="s">
        <v>6</v>
      </c>
      <c r="H62" s="3" t="s">
        <v>113</v>
      </c>
      <c r="I62" s="7" t="s">
        <v>43</v>
      </c>
      <c r="J62" s="5" t="s">
        <v>107</v>
      </c>
      <c r="K62" s="6">
        <v>2.37</v>
      </c>
      <c r="L62" s="6">
        <v>61.67</v>
      </c>
      <c r="M62" s="7">
        <v>21.95</v>
      </c>
      <c r="N62" s="1">
        <v>380</v>
      </c>
      <c r="O62" s="37">
        <v>3</v>
      </c>
      <c r="P62" s="37">
        <v>5</v>
      </c>
      <c r="Q62" s="44">
        <v>19.5</v>
      </c>
      <c r="R62" s="59">
        <v>2.04</v>
      </c>
      <c r="S62" s="59">
        <f>Table1[[#This Row],[GROSS VOL]]/Table1[[#This Row],[PCS]]*35.315</f>
        <v>2.0399059210526316</v>
      </c>
      <c r="T62" s="38">
        <v>245</v>
      </c>
      <c r="U62" s="38">
        <v>245.89230769230767</v>
      </c>
      <c r="V62" s="39">
        <f>Table1[[#This Row],[Purchase Volume]]*Table1[[#This Row],[Purchase Price]]</f>
        <v>4794.8999999999996</v>
      </c>
      <c r="W62" s="50">
        <v>3</v>
      </c>
      <c r="X62" s="50">
        <v>5</v>
      </c>
      <c r="Y62" s="49">
        <v>19.5</v>
      </c>
      <c r="Z62" s="51">
        <v>280</v>
      </c>
      <c r="AA62" s="51">
        <f>Table1[[#This Row],[BASE PRICE]]-Table1[[#This Row],[P Base Price]]</f>
        <v>35</v>
      </c>
      <c r="AB62" s="52">
        <v>280</v>
      </c>
      <c r="AC62" s="52">
        <f>Table1[[#This Row],[SALES VOL]]*Table1[[#This Row],[SALES PRICE]]</f>
        <v>5460</v>
      </c>
      <c r="AD62" s="53">
        <f>Table1[[#This Row],[SALES VALUE]]*10%</f>
        <v>546</v>
      </c>
      <c r="AE62" s="52">
        <v>295.3875802997859</v>
      </c>
      <c r="AF62" s="53">
        <f>Table1[[#This Row],[SALES VOL]]*Table1[[#This Row],[INV. PRICE]]</f>
        <v>5760.0578158458247</v>
      </c>
    </row>
    <row r="63" spans="1:32" ht="15" customHeight="1" x14ac:dyDescent="0.2">
      <c r="A63" s="1" t="s">
        <v>39</v>
      </c>
      <c r="B63" s="1">
        <v>2025</v>
      </c>
      <c r="C63" s="8">
        <v>45695</v>
      </c>
      <c r="D63" s="1" t="s">
        <v>105</v>
      </c>
      <c r="E63" s="1" t="s">
        <v>106</v>
      </c>
      <c r="F63" s="3" t="s">
        <v>6</v>
      </c>
      <c r="G63" s="3" t="s">
        <v>6</v>
      </c>
      <c r="H63" s="3" t="s">
        <v>113</v>
      </c>
      <c r="I63" s="7" t="s">
        <v>44</v>
      </c>
      <c r="J63" s="5"/>
      <c r="K63" s="6">
        <v>7</v>
      </c>
      <c r="L63" s="6">
        <v>73.819999999999993</v>
      </c>
      <c r="M63" s="7">
        <v>16.43</v>
      </c>
      <c r="N63" s="1">
        <v>68</v>
      </c>
      <c r="O63" s="37">
        <v>3</v>
      </c>
      <c r="P63" s="37">
        <v>5</v>
      </c>
      <c r="Q63" s="44">
        <v>15.03</v>
      </c>
      <c r="R63" s="59">
        <v>8.5299999999999994</v>
      </c>
      <c r="S63" s="59">
        <f>Table1[[#This Row],[GROSS VOL]]/Table1[[#This Row],[PCS]]*35.315</f>
        <v>8.5327272058823525</v>
      </c>
      <c r="T63" s="38">
        <v>300</v>
      </c>
      <c r="U63" s="38">
        <v>360</v>
      </c>
      <c r="V63" s="39">
        <f>Table1[[#This Row],[Purchase Volume]]*Table1[[#This Row],[Purchase Price]]</f>
        <v>5410.8</v>
      </c>
      <c r="W63" s="50">
        <v>3</v>
      </c>
      <c r="X63" s="50">
        <v>5</v>
      </c>
      <c r="Y63" s="49">
        <v>15.03</v>
      </c>
      <c r="Z63" s="51">
        <v>330</v>
      </c>
      <c r="AA63" s="51">
        <f>Table1[[#This Row],[BASE PRICE]]-Table1[[#This Row],[P Base Price]]</f>
        <v>30</v>
      </c>
      <c r="AB63" s="52">
        <v>390</v>
      </c>
      <c r="AC63" s="52">
        <f>Table1[[#This Row],[SALES VOL]]*Table1[[#This Row],[SALES PRICE]]</f>
        <v>5861.7</v>
      </c>
      <c r="AD63" s="53">
        <f>Table1[[#This Row],[SALES VALUE]]*10%</f>
        <v>586.16999999999996</v>
      </c>
      <c r="AE63" s="52">
        <v>295.3875802997859</v>
      </c>
      <c r="AF63" s="53">
        <f>Table1[[#This Row],[SALES VOL]]*Table1[[#This Row],[INV. PRICE]]</f>
        <v>4439.6753319057816</v>
      </c>
    </row>
    <row r="64" spans="1:32" ht="15" customHeight="1" x14ac:dyDescent="0.2">
      <c r="A64" s="1" t="s">
        <v>39</v>
      </c>
      <c r="B64" s="1">
        <v>2025</v>
      </c>
      <c r="C64" s="8">
        <v>45695</v>
      </c>
      <c r="D64" s="1" t="s">
        <v>105</v>
      </c>
      <c r="E64" s="1" t="s">
        <v>106</v>
      </c>
      <c r="F64" s="3" t="s">
        <v>6</v>
      </c>
      <c r="G64" s="3" t="s">
        <v>6</v>
      </c>
      <c r="H64" s="3" t="s">
        <v>113</v>
      </c>
      <c r="I64" s="7" t="s">
        <v>43</v>
      </c>
      <c r="J64" s="5" t="s">
        <v>108</v>
      </c>
      <c r="K64" s="6">
        <v>2.25</v>
      </c>
      <c r="L64" s="6">
        <v>61.42</v>
      </c>
      <c r="M64" s="7">
        <v>5.0999999999999996</v>
      </c>
      <c r="N64" s="1">
        <v>95</v>
      </c>
      <c r="O64" s="37">
        <v>3</v>
      </c>
      <c r="P64" s="37">
        <v>5</v>
      </c>
      <c r="Q64" s="44">
        <v>4.5199999999999996</v>
      </c>
      <c r="R64" s="59">
        <v>1.9</v>
      </c>
      <c r="S64" s="59">
        <f>Table1[[#This Row],[GROSS VOL]]/Table1[[#This Row],[PCS]]*35.315</f>
        <v>1.8958578947368419</v>
      </c>
      <c r="T64" s="38">
        <v>245</v>
      </c>
      <c r="U64" s="38">
        <v>230</v>
      </c>
      <c r="V64" s="39">
        <f>Table1[[#This Row],[Purchase Volume]]*Table1[[#This Row],[Purchase Price]]</f>
        <v>1039.5999999999999</v>
      </c>
      <c r="W64" s="50">
        <v>3</v>
      </c>
      <c r="X64" s="50">
        <v>5</v>
      </c>
      <c r="Y64" s="49">
        <v>4.5199999999999996</v>
      </c>
      <c r="Z64" s="51">
        <v>280</v>
      </c>
      <c r="AA64" s="51">
        <f>Table1[[#This Row],[BASE PRICE]]-Table1[[#This Row],[P Base Price]]</f>
        <v>35</v>
      </c>
      <c r="AB64" s="52">
        <v>265</v>
      </c>
      <c r="AC64" s="52">
        <f>Table1[[#This Row],[SALES VOL]]*Table1[[#This Row],[SALES PRICE]]</f>
        <v>1197.8</v>
      </c>
      <c r="AD64" s="53">
        <f>Table1[[#This Row],[SALES VALUE]]*10%</f>
        <v>119.78</v>
      </c>
      <c r="AE64" s="52">
        <v>295.3875802997859</v>
      </c>
      <c r="AF64" s="53">
        <f>Table1[[#This Row],[SALES VOL]]*Table1[[#This Row],[INV. PRICE]]</f>
        <v>1335.1518629550321</v>
      </c>
    </row>
    <row r="65" spans="1:32" ht="15" customHeight="1" x14ac:dyDescent="0.2">
      <c r="A65" s="1" t="s">
        <v>39</v>
      </c>
      <c r="B65" s="1">
        <v>2025</v>
      </c>
      <c r="C65" s="8">
        <v>45695</v>
      </c>
      <c r="D65" s="1" t="s">
        <v>105</v>
      </c>
      <c r="E65" s="1" t="s">
        <v>106</v>
      </c>
      <c r="F65" s="3" t="s">
        <v>6</v>
      </c>
      <c r="G65" s="3" t="s">
        <v>6</v>
      </c>
      <c r="H65" s="3" t="s">
        <v>113</v>
      </c>
      <c r="I65" s="7" t="s">
        <v>43</v>
      </c>
      <c r="J65" s="5" t="s">
        <v>109</v>
      </c>
      <c r="K65" s="6">
        <v>2.25</v>
      </c>
      <c r="L65" s="6">
        <v>83.67</v>
      </c>
      <c r="M65" s="7">
        <v>21.76</v>
      </c>
      <c r="N65" s="1">
        <v>219</v>
      </c>
      <c r="O65" s="37">
        <v>3</v>
      </c>
      <c r="P65" s="37">
        <v>5</v>
      </c>
      <c r="Q65" s="44">
        <v>19.78</v>
      </c>
      <c r="R65" s="59">
        <v>3.51</v>
      </c>
      <c r="S65" s="59">
        <f>Table1[[#This Row],[GROSS VOL]]/Table1[[#This Row],[PCS]]*35.315</f>
        <v>3.508924200913242</v>
      </c>
      <c r="T65" s="38">
        <v>245</v>
      </c>
      <c r="U65" s="38">
        <v>335</v>
      </c>
      <c r="V65" s="39">
        <f>Table1[[#This Row],[Purchase Volume]]*Table1[[#This Row],[Purchase Price]]</f>
        <v>6626.3</v>
      </c>
      <c r="W65" s="50">
        <v>3</v>
      </c>
      <c r="X65" s="50">
        <v>5</v>
      </c>
      <c r="Y65" s="49">
        <v>19.78</v>
      </c>
      <c r="Z65" s="51">
        <v>280</v>
      </c>
      <c r="AA65" s="51">
        <f>Table1[[#This Row],[BASE PRICE]]-Table1[[#This Row],[P Base Price]]</f>
        <v>35</v>
      </c>
      <c r="AB65" s="52">
        <v>370</v>
      </c>
      <c r="AC65" s="52">
        <f>Table1[[#This Row],[SALES VOL]]*Table1[[#This Row],[SALES PRICE]]</f>
        <v>7318.6</v>
      </c>
      <c r="AD65" s="53">
        <f>Table1[[#This Row],[SALES VALUE]]*10%</f>
        <v>731.86000000000013</v>
      </c>
      <c r="AE65" s="52">
        <v>295.3875802997859</v>
      </c>
      <c r="AF65" s="53">
        <f>Table1[[#This Row],[SALES VOL]]*Table1[[#This Row],[INV. PRICE]]</f>
        <v>5842.7663383297649</v>
      </c>
    </row>
    <row r="66" spans="1:32" ht="15" customHeight="1" x14ac:dyDescent="0.2">
      <c r="A66" s="1" t="s">
        <v>39</v>
      </c>
      <c r="B66" s="1">
        <v>2025</v>
      </c>
      <c r="C66" s="8">
        <v>45695</v>
      </c>
      <c r="D66" s="1" t="s">
        <v>105</v>
      </c>
      <c r="E66" s="1" t="s">
        <v>106</v>
      </c>
      <c r="F66" s="3" t="s">
        <v>6</v>
      </c>
      <c r="G66" s="3" t="s">
        <v>6</v>
      </c>
      <c r="H66" s="3" t="s">
        <v>113</v>
      </c>
      <c r="I66" s="7" t="s">
        <v>43</v>
      </c>
      <c r="J66" s="5" t="s">
        <v>110</v>
      </c>
      <c r="K66" s="6">
        <v>2.2599999999999998</v>
      </c>
      <c r="L66" s="6">
        <v>60.84</v>
      </c>
      <c r="M66" s="7">
        <v>22.1</v>
      </c>
      <c r="N66" s="1">
        <v>416</v>
      </c>
      <c r="O66" s="37">
        <v>3</v>
      </c>
      <c r="P66" s="37">
        <v>5</v>
      </c>
      <c r="Q66" s="44">
        <v>19.559999999999999</v>
      </c>
      <c r="R66" s="59">
        <v>1.88</v>
      </c>
      <c r="S66" s="59">
        <f>Table1[[#This Row],[GROSS VOL]]/Table1[[#This Row],[PCS]]*35.315</f>
        <v>1.876109375</v>
      </c>
      <c r="T66" s="38">
        <v>245</v>
      </c>
      <c r="U66" s="38">
        <v>233.54294478527606</v>
      </c>
      <c r="V66" s="39">
        <f>Table1[[#This Row],[Purchase Volume]]*Table1[[#This Row],[Purchase Price]]</f>
        <v>4568.0999999999995</v>
      </c>
      <c r="W66" s="50">
        <v>3</v>
      </c>
      <c r="X66" s="50">
        <v>5</v>
      </c>
      <c r="Y66" s="49">
        <v>19.559999999999999</v>
      </c>
      <c r="Z66" s="51">
        <v>280</v>
      </c>
      <c r="AA66" s="51">
        <f>Table1[[#This Row],[BASE PRICE]]-Table1[[#This Row],[P Base Price]]</f>
        <v>35</v>
      </c>
      <c r="AB66" s="52">
        <v>265</v>
      </c>
      <c r="AC66" s="52">
        <f>Table1[[#This Row],[SALES VOL]]*Table1[[#This Row],[SALES PRICE]]</f>
        <v>5183.3999999999996</v>
      </c>
      <c r="AD66" s="53">
        <f>Table1[[#This Row],[SALES VALUE]]*10%</f>
        <v>518.34</v>
      </c>
      <c r="AE66" s="52">
        <v>295.3875802997859</v>
      </c>
      <c r="AF66" s="53">
        <f>Table1[[#This Row],[SALES VOL]]*Table1[[#This Row],[INV. PRICE]]</f>
        <v>5777.781070663812</v>
      </c>
    </row>
    <row r="67" spans="1:32" ht="15" customHeight="1" x14ac:dyDescent="0.2">
      <c r="A67" s="1" t="s">
        <v>39</v>
      </c>
      <c r="B67" s="1">
        <v>2025</v>
      </c>
      <c r="C67" s="8">
        <v>45695</v>
      </c>
      <c r="D67" s="1" t="s">
        <v>105</v>
      </c>
      <c r="E67" s="1" t="s">
        <v>106</v>
      </c>
      <c r="F67" s="3" t="s">
        <v>6</v>
      </c>
      <c r="G67" s="3" t="s">
        <v>6</v>
      </c>
      <c r="H67" s="3" t="s">
        <v>113</v>
      </c>
      <c r="I67" s="7" t="s">
        <v>43</v>
      </c>
      <c r="J67" s="5" t="s">
        <v>111</v>
      </c>
      <c r="K67" s="6">
        <v>2.25</v>
      </c>
      <c r="L67" s="6">
        <v>65.39</v>
      </c>
      <c r="M67" s="7">
        <v>5.2</v>
      </c>
      <c r="N67" s="1">
        <v>86</v>
      </c>
      <c r="O67" s="37">
        <v>3</v>
      </c>
      <c r="P67" s="37">
        <v>5</v>
      </c>
      <c r="Q67" s="44">
        <v>4.63</v>
      </c>
      <c r="R67" s="59">
        <v>2.14</v>
      </c>
      <c r="S67" s="59">
        <f>Table1[[#This Row],[GROSS VOL]]/Table1[[#This Row],[PCS]]*35.315</f>
        <v>2.1353255813953487</v>
      </c>
      <c r="T67" s="38">
        <v>245</v>
      </c>
      <c r="U67" s="38">
        <v>245</v>
      </c>
      <c r="V67" s="39">
        <f>Table1[[#This Row],[Purchase Volume]]*Table1[[#This Row],[Purchase Price]]</f>
        <v>1134.3499999999999</v>
      </c>
      <c r="W67" s="50">
        <v>3</v>
      </c>
      <c r="X67" s="50">
        <v>5</v>
      </c>
      <c r="Y67" s="49">
        <v>4.63</v>
      </c>
      <c r="Z67" s="51">
        <v>280</v>
      </c>
      <c r="AA67" s="51">
        <f>Table1[[#This Row],[BASE PRICE]]-Table1[[#This Row],[P Base Price]]</f>
        <v>35</v>
      </c>
      <c r="AB67" s="52">
        <v>280</v>
      </c>
      <c r="AC67" s="52">
        <f>Table1[[#This Row],[SALES VOL]]*Table1[[#This Row],[SALES PRICE]]</f>
        <v>1296.3999999999999</v>
      </c>
      <c r="AD67" s="53">
        <f>Table1[[#This Row],[SALES VALUE]]*10%</f>
        <v>129.63999999999999</v>
      </c>
      <c r="AE67" s="52">
        <v>295.3875802997859</v>
      </c>
      <c r="AF67" s="53">
        <f>Table1[[#This Row],[SALES VOL]]*Table1[[#This Row],[INV. PRICE]]</f>
        <v>1367.6444967880086</v>
      </c>
    </row>
    <row r="68" spans="1:32" ht="15" customHeight="1" x14ac:dyDescent="0.2">
      <c r="A68" s="1" t="s">
        <v>39</v>
      </c>
      <c r="B68" s="1">
        <v>2025</v>
      </c>
      <c r="C68" s="8">
        <v>45695</v>
      </c>
      <c r="D68" s="1" t="s">
        <v>105</v>
      </c>
      <c r="E68" s="1" t="s">
        <v>106</v>
      </c>
      <c r="F68" s="3" t="s">
        <v>6</v>
      </c>
      <c r="G68" s="3" t="s">
        <v>6</v>
      </c>
      <c r="H68" s="3" t="s">
        <v>113</v>
      </c>
      <c r="I68" s="7" t="s">
        <v>44</v>
      </c>
      <c r="J68" s="5"/>
      <c r="K68" s="6">
        <v>7</v>
      </c>
      <c r="L68" s="6">
        <v>72.459999999999994</v>
      </c>
      <c r="M68" s="7">
        <v>16.489999999999998</v>
      </c>
      <c r="N68" s="1">
        <v>71</v>
      </c>
      <c r="O68" s="37">
        <v>3</v>
      </c>
      <c r="P68" s="37">
        <v>5</v>
      </c>
      <c r="Q68" s="44">
        <v>15.05</v>
      </c>
      <c r="R68" s="59">
        <v>8.1999999999999993</v>
      </c>
      <c r="S68" s="59">
        <f>Table1[[#This Row],[GROSS VOL]]/Table1[[#This Row],[PCS]]*35.315</f>
        <v>8.2020330985915475</v>
      </c>
      <c r="T68" s="38">
        <v>300</v>
      </c>
      <c r="U68" s="38">
        <v>360</v>
      </c>
      <c r="V68" s="39">
        <f>Table1[[#This Row],[Purchase Volume]]*Table1[[#This Row],[Purchase Price]]</f>
        <v>5418</v>
      </c>
      <c r="W68" s="50">
        <v>3</v>
      </c>
      <c r="X68" s="50">
        <v>5</v>
      </c>
      <c r="Y68" s="49">
        <v>15.05</v>
      </c>
      <c r="Z68" s="51">
        <v>330</v>
      </c>
      <c r="AA68" s="51">
        <f>Table1[[#This Row],[BASE PRICE]]-Table1[[#This Row],[P Base Price]]</f>
        <v>30</v>
      </c>
      <c r="AB68" s="52">
        <v>390</v>
      </c>
      <c r="AC68" s="52">
        <f>Table1[[#This Row],[SALES VOL]]*Table1[[#This Row],[SALES PRICE]]</f>
        <v>5869.5</v>
      </c>
      <c r="AD68" s="53">
        <f>Table1[[#This Row],[SALES VALUE]]*10%</f>
        <v>586.95000000000005</v>
      </c>
      <c r="AE68" s="52">
        <v>295.3875802997859</v>
      </c>
      <c r="AF68" s="53">
        <f>Table1[[#This Row],[SALES VOL]]*Table1[[#This Row],[INV. PRICE]]</f>
        <v>4445.5830835117777</v>
      </c>
    </row>
  </sheetData>
  <mergeCells count="2">
    <mergeCell ref="W1:AF1"/>
    <mergeCell ref="O1:V1"/>
  </mergeCells>
  <conditionalFormatting sqref="C4:C68">
    <cfRule type="containsText" dxfId="5" priority="2" operator="containsText" text="Pending">
      <formula>NOT(ISERROR(SEARCH("Pending",C4)))</formula>
    </cfRule>
  </conditionalFormatting>
  <conditionalFormatting sqref="J3">
    <cfRule type="duplicateValues" dxfId="4" priority="7"/>
    <cfRule type="duplicateValues" dxfId="3" priority="8"/>
  </conditionalFormatting>
  <conditionalFormatting sqref="J4:J17">
    <cfRule type="duplicateValues" dxfId="2" priority="11"/>
    <cfRule type="duplicateValues" dxfId="1" priority="1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39FE-7D74-465C-8314-134BE3A7FE92}">
  <dimension ref="A3:M61"/>
  <sheetViews>
    <sheetView workbookViewId="0">
      <selection sqref="A1:XFD1048576"/>
    </sheetView>
  </sheetViews>
  <sheetFormatPr defaultColWidth="8.7109375" defaultRowHeight="15" customHeight="1" x14ac:dyDescent="0.2"/>
  <cols>
    <col min="1" max="1" width="17.7109375" style="17" bestFit="1" customWidth="1"/>
    <col min="2" max="2" width="13.85546875" style="17" bestFit="1" customWidth="1"/>
    <col min="3" max="3" width="11.140625" style="17" bestFit="1" customWidth="1"/>
    <col min="4" max="4" width="10.7109375" style="17" bestFit="1" customWidth="1"/>
    <col min="5" max="5" width="13.140625" style="17" bestFit="1" customWidth="1"/>
    <col min="6" max="6" width="8.7109375" style="17" bestFit="1" customWidth="1"/>
    <col min="7" max="7" width="11.140625" style="20" bestFit="1" customWidth="1"/>
    <col min="8" max="8" width="10.140625" style="20" bestFit="1" customWidth="1"/>
    <col min="9" max="10" width="12.5703125" style="20" bestFit="1" customWidth="1"/>
    <col min="11" max="11" width="10.140625" style="17" bestFit="1" customWidth="1"/>
    <col min="12" max="13" width="12.5703125" style="17" bestFit="1" customWidth="1"/>
    <col min="14" max="16384" width="8.7109375" style="17"/>
  </cols>
  <sheetData>
    <row r="3" spans="1:13" ht="15" customHeight="1" x14ac:dyDescent="0.25">
      <c r="A3" s="14"/>
      <c r="B3" s="15"/>
      <c r="C3" s="18" t="s">
        <v>23</v>
      </c>
      <c r="D3" s="15"/>
      <c r="E3" s="15"/>
      <c r="F3" s="15"/>
      <c r="G3" s="15"/>
      <c r="H3" s="15"/>
      <c r="I3" s="16"/>
      <c r="J3"/>
      <c r="K3"/>
      <c r="L3"/>
      <c r="M3"/>
    </row>
    <row r="4" spans="1:13" ht="15" customHeight="1" x14ac:dyDescent="0.25">
      <c r="A4" s="21" t="s">
        <v>38</v>
      </c>
      <c r="B4" s="21" t="s">
        <v>1</v>
      </c>
      <c r="C4" s="21" t="s">
        <v>24</v>
      </c>
      <c r="D4" s="22" t="s">
        <v>37</v>
      </c>
      <c r="E4" s="22" t="s">
        <v>34</v>
      </c>
      <c r="F4" s="22" t="s">
        <v>36</v>
      </c>
      <c r="G4" s="22" t="s">
        <v>25</v>
      </c>
      <c r="H4" s="22" t="s">
        <v>5</v>
      </c>
      <c r="I4" s="23" t="s">
        <v>35</v>
      </c>
      <c r="J4"/>
      <c r="K4"/>
      <c r="L4"/>
      <c r="M4"/>
    </row>
    <row r="5" spans="1:13" ht="15" customHeight="1" x14ac:dyDescent="0.25">
      <c r="A5" s="14" t="s">
        <v>39</v>
      </c>
      <c r="B5" s="14" t="s">
        <v>45</v>
      </c>
      <c r="C5" s="14">
        <v>5</v>
      </c>
      <c r="D5" s="34">
        <v>95.66</v>
      </c>
      <c r="E5" s="24">
        <v>30757</v>
      </c>
      <c r="F5" s="34">
        <v>95.66</v>
      </c>
      <c r="G5" s="24">
        <v>33822.199999999997</v>
      </c>
      <c r="H5" s="24">
        <v>3382.2200000000003</v>
      </c>
      <c r="I5" s="25">
        <v>30439.979999999996</v>
      </c>
      <c r="J5"/>
      <c r="K5"/>
      <c r="L5"/>
      <c r="M5"/>
    </row>
    <row r="6" spans="1:13" ht="15" customHeight="1" x14ac:dyDescent="0.25">
      <c r="A6" s="19"/>
      <c r="B6" s="55" t="s">
        <v>46</v>
      </c>
      <c r="C6" s="55">
        <v>5</v>
      </c>
      <c r="D6" s="56">
        <v>98.9</v>
      </c>
      <c r="E6" s="57">
        <v>30447.3</v>
      </c>
      <c r="F6" s="56">
        <v>98.9</v>
      </c>
      <c r="G6" s="57">
        <v>33769.800000000003</v>
      </c>
      <c r="H6" s="57">
        <v>3376.9800000000005</v>
      </c>
      <c r="I6" s="58">
        <v>29281.654340101526</v>
      </c>
      <c r="J6"/>
      <c r="K6"/>
      <c r="L6"/>
      <c r="M6"/>
    </row>
    <row r="7" spans="1:13" ht="15" customHeight="1" x14ac:dyDescent="0.25">
      <c r="A7" s="19"/>
      <c r="B7" s="55" t="s">
        <v>47</v>
      </c>
      <c r="C7" s="55">
        <v>5</v>
      </c>
      <c r="D7" s="56">
        <v>89.460999999999999</v>
      </c>
      <c r="E7" s="57">
        <v>28413.449999999997</v>
      </c>
      <c r="F7" s="56">
        <v>89.460999999999999</v>
      </c>
      <c r="G7" s="57">
        <v>28413.449999999997</v>
      </c>
      <c r="H7" s="57">
        <v>2841.3450000000003</v>
      </c>
      <c r="I7" s="58">
        <v>25572.104999999996</v>
      </c>
      <c r="J7"/>
      <c r="K7"/>
      <c r="L7"/>
      <c r="M7"/>
    </row>
    <row r="8" spans="1:13" ht="15" customHeight="1" x14ac:dyDescent="0.25">
      <c r="A8" s="19"/>
      <c r="B8" s="55" t="s">
        <v>48</v>
      </c>
      <c r="C8" s="55">
        <v>2</v>
      </c>
      <c r="D8" s="56">
        <v>37.450000000000003</v>
      </c>
      <c r="E8" s="57">
        <v>11789.75</v>
      </c>
      <c r="F8" s="56">
        <v>37.450000000000003</v>
      </c>
      <c r="G8" s="57">
        <v>13282</v>
      </c>
      <c r="H8" s="57">
        <v>1328.2</v>
      </c>
      <c r="I8" s="58">
        <v>11953.799999999997</v>
      </c>
      <c r="J8"/>
      <c r="K8"/>
      <c r="L8"/>
      <c r="M8"/>
    </row>
    <row r="9" spans="1:13" ht="15" customHeight="1" x14ac:dyDescent="0.25">
      <c r="A9" s="19"/>
      <c r="B9" s="55" t="s">
        <v>49</v>
      </c>
      <c r="C9" s="55">
        <v>5</v>
      </c>
      <c r="D9" s="56">
        <v>98.37</v>
      </c>
      <c r="E9" s="57">
        <v>26774.399999999998</v>
      </c>
      <c r="F9" s="56">
        <v>98.37</v>
      </c>
      <c r="G9" s="57">
        <v>30217.35</v>
      </c>
      <c r="H9" s="57">
        <v>3021.7350000000001</v>
      </c>
      <c r="I9" s="58">
        <v>27195.614999999998</v>
      </c>
      <c r="J9"/>
      <c r="K9"/>
      <c r="L9"/>
      <c r="M9"/>
    </row>
    <row r="10" spans="1:13" ht="15" customHeight="1" x14ac:dyDescent="0.25">
      <c r="A10" s="19"/>
      <c r="B10" s="55" t="s">
        <v>50</v>
      </c>
      <c r="C10" s="55">
        <v>6</v>
      </c>
      <c r="D10" s="56">
        <v>118.51999999999998</v>
      </c>
      <c r="E10" s="57">
        <v>34135.300000000003</v>
      </c>
      <c r="F10" s="56">
        <v>118.51999999999998</v>
      </c>
      <c r="G10" s="57">
        <v>38138.300000000003</v>
      </c>
      <c r="H10" s="57">
        <v>3813.8300000000008</v>
      </c>
      <c r="I10" s="58">
        <v>34324.470000000008</v>
      </c>
      <c r="J10"/>
      <c r="K10"/>
      <c r="L10"/>
      <c r="M10"/>
    </row>
    <row r="11" spans="1:13" ht="15" customHeight="1" x14ac:dyDescent="0.25">
      <c r="A11" s="19"/>
      <c r="B11" s="55" t="s">
        <v>51</v>
      </c>
      <c r="C11" s="55">
        <v>5</v>
      </c>
      <c r="D11" s="56">
        <v>98.36</v>
      </c>
      <c r="E11" s="57">
        <v>28819.35</v>
      </c>
      <c r="F11" s="56">
        <v>98.36</v>
      </c>
      <c r="G11" s="57">
        <v>32144.25</v>
      </c>
      <c r="H11" s="57">
        <v>3214.4250000000002</v>
      </c>
      <c r="I11" s="58">
        <v>28929.824999999997</v>
      </c>
      <c r="J11"/>
      <c r="K11"/>
      <c r="L11"/>
      <c r="M11"/>
    </row>
    <row r="12" spans="1:13" ht="15" customHeight="1" x14ac:dyDescent="0.25">
      <c r="A12" s="19"/>
      <c r="B12" s="55" t="s">
        <v>52</v>
      </c>
      <c r="C12" s="55">
        <v>10</v>
      </c>
      <c r="D12" s="56">
        <v>177.262</v>
      </c>
      <c r="E12" s="57">
        <v>57263.926500000001</v>
      </c>
      <c r="F12" s="56">
        <v>177.262</v>
      </c>
      <c r="G12" s="57">
        <v>63626.584999999992</v>
      </c>
      <c r="H12" s="57">
        <v>6362.6584999999986</v>
      </c>
      <c r="I12" s="58">
        <v>57263.926499999994</v>
      </c>
      <c r="J12"/>
      <c r="K12"/>
      <c r="L12"/>
      <c r="M12"/>
    </row>
    <row r="13" spans="1:13" ht="15" customHeight="1" x14ac:dyDescent="0.25">
      <c r="A13" s="19"/>
      <c r="B13" s="55" t="s">
        <v>105</v>
      </c>
      <c r="C13" s="55">
        <v>5</v>
      </c>
      <c r="D13" s="56">
        <v>98.07</v>
      </c>
      <c r="E13" s="57">
        <v>28992.049999999996</v>
      </c>
      <c r="F13" s="56">
        <v>98.07</v>
      </c>
      <c r="G13" s="57">
        <v>32187.4</v>
      </c>
      <c r="H13" s="57">
        <v>3218.7400000000002</v>
      </c>
      <c r="I13" s="58">
        <v>28968.660000000003</v>
      </c>
      <c r="J13"/>
      <c r="K13"/>
      <c r="L13"/>
      <c r="M13"/>
    </row>
    <row r="14" spans="1:13" ht="15" customHeight="1" x14ac:dyDescent="0.25">
      <c r="A14" s="26" t="s">
        <v>40</v>
      </c>
      <c r="B14" s="27"/>
      <c r="C14" s="26">
        <v>48</v>
      </c>
      <c r="D14" s="35">
        <v>912.05299999999988</v>
      </c>
      <c r="E14" s="28">
        <v>277392.52650000004</v>
      </c>
      <c r="F14" s="35">
        <v>912.05299999999988</v>
      </c>
      <c r="G14" s="28">
        <v>305601.33500000008</v>
      </c>
      <c r="H14" s="28">
        <v>30560.1335</v>
      </c>
      <c r="I14" s="29">
        <v>273930.03584010137</v>
      </c>
      <c r="J14"/>
      <c r="K14"/>
      <c r="L14"/>
      <c r="M14"/>
    </row>
    <row r="15" spans="1:13" ht="15" customHeight="1" x14ac:dyDescent="0.25">
      <c r="A15" s="30" t="s">
        <v>7</v>
      </c>
      <c r="B15" s="31"/>
      <c r="C15" s="30">
        <v>48</v>
      </c>
      <c r="D15" s="36">
        <v>912.05299999999988</v>
      </c>
      <c r="E15" s="32">
        <v>277392.52650000004</v>
      </c>
      <c r="F15" s="36">
        <v>912.05299999999988</v>
      </c>
      <c r="G15" s="32">
        <v>305601.33500000008</v>
      </c>
      <c r="H15" s="32">
        <v>30560.1335</v>
      </c>
      <c r="I15" s="33">
        <v>273930.03584010137</v>
      </c>
      <c r="J15"/>
      <c r="K15"/>
      <c r="L15"/>
    </row>
    <row r="16" spans="1:13" ht="15" customHeight="1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ht="15" customHeight="1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ht="15" customHeight="1" x14ac:dyDescent="0.25">
      <c r="A20"/>
      <c r="B20"/>
      <c r="C20"/>
      <c r="D20"/>
      <c r="E20"/>
      <c r="F20"/>
      <c r="G20"/>
      <c r="H20"/>
      <c r="I20"/>
      <c r="J20"/>
      <c r="K20"/>
    </row>
    <row r="21" spans="1:12" ht="15" customHeight="1" x14ac:dyDescent="0.25">
      <c r="A21"/>
      <c r="B21"/>
      <c r="C21"/>
      <c r="D21"/>
      <c r="E21"/>
      <c r="F21"/>
      <c r="G21"/>
      <c r="H21"/>
      <c r="I21"/>
      <c r="J21"/>
      <c r="K21"/>
    </row>
    <row r="22" spans="1:12" ht="15" customHeight="1" x14ac:dyDescent="0.25">
      <c r="A22"/>
      <c r="B22"/>
      <c r="C22"/>
      <c r="D22"/>
      <c r="E22"/>
      <c r="F22"/>
      <c r="G22"/>
      <c r="H22"/>
      <c r="I22"/>
      <c r="J22"/>
      <c r="K22"/>
    </row>
    <row r="23" spans="1:12" ht="15" customHeight="1" x14ac:dyDescent="0.25">
      <c r="A23"/>
      <c r="B23"/>
      <c r="C23"/>
      <c r="D23"/>
      <c r="E23"/>
      <c r="F23"/>
      <c r="G23"/>
      <c r="H23"/>
      <c r="I23"/>
      <c r="J23"/>
      <c r="K23"/>
    </row>
    <row r="24" spans="1:12" ht="15" customHeight="1" x14ac:dyDescent="0.25">
      <c r="A24"/>
      <c r="B24"/>
      <c r="C24"/>
      <c r="D24"/>
      <c r="E24"/>
      <c r="F24"/>
      <c r="G24"/>
      <c r="H24"/>
      <c r="I24"/>
      <c r="J24"/>
      <c r="K24"/>
    </row>
    <row r="25" spans="1:12" ht="15" customHeight="1" x14ac:dyDescent="0.25">
      <c r="A25"/>
      <c r="B25"/>
      <c r="C25"/>
      <c r="D25"/>
      <c r="E25"/>
      <c r="F25"/>
      <c r="G25"/>
      <c r="H25"/>
      <c r="I25"/>
      <c r="J25"/>
      <c r="K25"/>
    </row>
    <row r="26" spans="1:12" ht="15" customHeight="1" x14ac:dyDescent="0.25">
      <c r="A26"/>
      <c r="B26"/>
      <c r="C26"/>
      <c r="D26"/>
      <c r="E26"/>
      <c r="F26"/>
      <c r="G26"/>
      <c r="H26"/>
      <c r="I26"/>
      <c r="J26"/>
      <c r="K26"/>
    </row>
    <row r="27" spans="1:12" ht="15" customHeight="1" x14ac:dyDescent="0.25">
      <c r="A27"/>
      <c r="B27"/>
      <c r="C27"/>
      <c r="D27"/>
      <c r="E27"/>
      <c r="F27"/>
      <c r="G27"/>
      <c r="H27"/>
      <c r="I27"/>
      <c r="J27"/>
      <c r="K27"/>
    </row>
    <row r="28" spans="1:12" ht="15" customHeight="1" x14ac:dyDescent="0.25">
      <c r="A28"/>
      <c r="B28"/>
      <c r="C28"/>
      <c r="D28"/>
      <c r="E28"/>
      <c r="F28"/>
      <c r="G28"/>
      <c r="H28"/>
      <c r="I28"/>
      <c r="J28"/>
      <c r="K28"/>
    </row>
    <row r="29" spans="1:12" ht="15" customHeight="1" x14ac:dyDescent="0.25">
      <c r="A29"/>
      <c r="B29"/>
      <c r="C29"/>
      <c r="D29"/>
      <c r="E29"/>
      <c r="F29"/>
      <c r="G29"/>
      <c r="H29"/>
      <c r="I29"/>
      <c r="J29"/>
      <c r="K29"/>
    </row>
    <row r="30" spans="1:12" ht="15" customHeight="1" x14ac:dyDescent="0.25">
      <c r="A30"/>
      <c r="B30"/>
      <c r="C30"/>
      <c r="D30"/>
      <c r="E30"/>
      <c r="F30"/>
      <c r="G30"/>
      <c r="H30"/>
      <c r="I30"/>
      <c r="J30"/>
      <c r="K30"/>
    </row>
    <row r="31" spans="1:12" ht="15" customHeight="1" x14ac:dyDescent="0.25">
      <c r="A31"/>
      <c r="B31"/>
      <c r="C31"/>
      <c r="D31"/>
      <c r="E31"/>
      <c r="F31"/>
      <c r="G31"/>
      <c r="H31"/>
      <c r="I31"/>
      <c r="J31"/>
      <c r="K31"/>
    </row>
    <row r="32" spans="1:12" ht="15" customHeight="1" x14ac:dyDescent="0.25">
      <c r="A32"/>
      <c r="B32"/>
      <c r="C32"/>
      <c r="D32"/>
      <c r="E32"/>
      <c r="F32"/>
      <c r="G32"/>
      <c r="H32"/>
      <c r="I32"/>
      <c r="J32"/>
      <c r="K32"/>
    </row>
    <row r="33" spans="1:11" ht="15" customHeight="1" x14ac:dyDescent="0.25">
      <c r="A33"/>
      <c r="B33"/>
      <c r="C33"/>
      <c r="D33"/>
      <c r="E33"/>
      <c r="F33"/>
      <c r="G33"/>
      <c r="H33"/>
      <c r="I33"/>
      <c r="J33"/>
      <c r="K33"/>
    </row>
    <row r="34" spans="1:11" ht="15" customHeight="1" x14ac:dyDescent="0.25">
      <c r="A34"/>
      <c r="B34"/>
      <c r="C34"/>
      <c r="D34"/>
      <c r="E34"/>
      <c r="F34"/>
      <c r="G34"/>
      <c r="H34"/>
      <c r="I34"/>
      <c r="J34"/>
      <c r="K34"/>
    </row>
    <row r="35" spans="1:11" ht="15" customHeight="1" x14ac:dyDescent="0.25">
      <c r="A35"/>
      <c r="B35"/>
      <c r="C35"/>
      <c r="D35"/>
      <c r="E35"/>
      <c r="F35"/>
      <c r="G35"/>
      <c r="H35"/>
      <c r="I35"/>
      <c r="J35"/>
      <c r="K35"/>
    </row>
    <row r="36" spans="1:11" ht="15" customHeight="1" x14ac:dyDescent="0.25">
      <c r="A36"/>
      <c r="B36"/>
      <c r="C36"/>
      <c r="D36"/>
      <c r="E36"/>
      <c r="F36"/>
      <c r="G36"/>
      <c r="H36"/>
      <c r="I36"/>
      <c r="J36"/>
      <c r="K36"/>
    </row>
    <row r="37" spans="1:11" ht="15" customHeight="1" x14ac:dyDescent="0.25">
      <c r="A37"/>
      <c r="B37"/>
      <c r="C37"/>
      <c r="D37"/>
      <c r="E37"/>
      <c r="F37"/>
      <c r="G37"/>
      <c r="H37"/>
      <c r="I37"/>
      <c r="J37"/>
      <c r="K37"/>
    </row>
    <row r="38" spans="1:11" ht="15" customHeight="1" x14ac:dyDescent="0.25">
      <c r="A38"/>
      <c r="B38"/>
      <c r="C38"/>
      <c r="D38"/>
      <c r="E38"/>
      <c r="F38"/>
      <c r="G38"/>
      <c r="H38"/>
      <c r="I38"/>
      <c r="J38"/>
      <c r="K38"/>
    </row>
    <row r="39" spans="1:11" ht="15" customHeight="1" x14ac:dyDescent="0.25">
      <c r="A39"/>
      <c r="B39"/>
      <c r="C39"/>
      <c r="D39"/>
      <c r="E39"/>
      <c r="F39"/>
      <c r="G39"/>
      <c r="H39"/>
      <c r="I39"/>
      <c r="J39"/>
      <c r="K39"/>
    </row>
    <row r="40" spans="1:11" ht="15" customHeight="1" x14ac:dyDescent="0.25">
      <c r="A40"/>
      <c r="B40"/>
      <c r="C40"/>
      <c r="D40"/>
      <c r="E40"/>
      <c r="F40"/>
      <c r="G40"/>
      <c r="H40"/>
      <c r="I40"/>
      <c r="J40"/>
      <c r="K40"/>
    </row>
    <row r="41" spans="1:11" ht="15" customHeight="1" x14ac:dyDescent="0.25">
      <c r="A41"/>
      <c r="B41"/>
      <c r="C41"/>
      <c r="D41"/>
      <c r="E41"/>
      <c r="F41"/>
      <c r="G41"/>
      <c r="H41"/>
      <c r="I41"/>
      <c r="J41"/>
      <c r="K41"/>
    </row>
    <row r="42" spans="1:11" ht="15" customHeight="1" x14ac:dyDescent="0.25">
      <c r="A42"/>
      <c r="B42"/>
      <c r="C42"/>
      <c r="D42"/>
      <c r="E42"/>
      <c r="F42"/>
      <c r="G42"/>
      <c r="H42"/>
      <c r="I42"/>
      <c r="J42"/>
      <c r="K42"/>
    </row>
    <row r="43" spans="1:11" ht="15" customHeight="1" x14ac:dyDescent="0.25">
      <c r="A43"/>
      <c r="B43"/>
      <c r="C43"/>
      <c r="D43"/>
      <c r="E43"/>
      <c r="F43"/>
      <c r="G43"/>
      <c r="H43"/>
      <c r="I43"/>
      <c r="J43"/>
      <c r="K43"/>
    </row>
    <row r="44" spans="1:11" ht="15" customHeight="1" x14ac:dyDescent="0.25">
      <c r="A44"/>
      <c r="B44"/>
      <c r="C44"/>
      <c r="D44"/>
      <c r="E44"/>
      <c r="F44"/>
      <c r="G44"/>
      <c r="H44"/>
      <c r="I44"/>
      <c r="J44"/>
      <c r="K44"/>
    </row>
    <row r="45" spans="1:11" ht="15" customHeight="1" x14ac:dyDescent="0.25">
      <c r="A45"/>
      <c r="B45"/>
      <c r="C45"/>
      <c r="D45"/>
      <c r="E45"/>
      <c r="F45"/>
      <c r="G45"/>
      <c r="H45"/>
      <c r="I45"/>
      <c r="J45"/>
      <c r="K45"/>
    </row>
    <row r="46" spans="1:11" ht="15" customHeight="1" x14ac:dyDescent="0.25">
      <c r="A46"/>
      <c r="B46"/>
      <c r="C46"/>
      <c r="D46"/>
      <c r="E46"/>
      <c r="F46"/>
      <c r="G46"/>
      <c r="H46"/>
      <c r="I46"/>
      <c r="J46"/>
      <c r="K46"/>
    </row>
    <row r="47" spans="1:11" ht="15" customHeight="1" x14ac:dyDescent="0.25">
      <c r="A47"/>
      <c r="B47"/>
      <c r="C47"/>
      <c r="D47"/>
      <c r="E47"/>
      <c r="F47"/>
      <c r="G47"/>
      <c r="H47"/>
      <c r="I47"/>
      <c r="J47"/>
      <c r="K47"/>
    </row>
    <row r="48" spans="1:11" ht="15" customHeight="1" x14ac:dyDescent="0.25">
      <c r="A48"/>
      <c r="B48"/>
      <c r="C48"/>
      <c r="D48"/>
      <c r="E48"/>
      <c r="F48"/>
      <c r="G48"/>
      <c r="H48"/>
      <c r="I48"/>
      <c r="J48"/>
      <c r="K48"/>
    </row>
    <row r="49" spans="1:11" ht="15" customHeight="1" x14ac:dyDescent="0.25">
      <c r="A49"/>
      <c r="B49"/>
      <c r="C49"/>
      <c r="D49"/>
      <c r="E49"/>
      <c r="F49"/>
      <c r="G49"/>
      <c r="H49"/>
      <c r="I49"/>
      <c r="J49"/>
      <c r="K49"/>
    </row>
    <row r="50" spans="1:11" ht="15" customHeight="1" x14ac:dyDescent="0.25">
      <c r="A50"/>
      <c r="B50"/>
      <c r="C50"/>
      <c r="D50"/>
      <c r="E50"/>
      <c r="F50"/>
      <c r="G50"/>
      <c r="H50"/>
      <c r="I50"/>
      <c r="J50"/>
      <c r="K50"/>
    </row>
    <row r="51" spans="1:11" ht="15" customHeight="1" x14ac:dyDescent="0.25">
      <c r="A51"/>
      <c r="B51"/>
      <c r="C51"/>
      <c r="D51"/>
      <c r="E51"/>
      <c r="F51"/>
      <c r="G51"/>
      <c r="H51"/>
      <c r="I51"/>
      <c r="J51"/>
      <c r="K51"/>
    </row>
    <row r="52" spans="1:11" ht="15" customHeight="1" x14ac:dyDescent="0.25">
      <c r="A52"/>
      <c r="B52"/>
      <c r="C52"/>
      <c r="D52"/>
      <c r="E52"/>
      <c r="F52"/>
      <c r="G52"/>
      <c r="H52"/>
      <c r="I52"/>
      <c r="J52"/>
      <c r="K52"/>
    </row>
    <row r="53" spans="1:11" ht="15" customHeight="1" x14ac:dyDescent="0.25">
      <c r="A53"/>
      <c r="B53"/>
      <c r="C53"/>
      <c r="D53"/>
      <c r="E53"/>
      <c r="F53"/>
      <c r="G53"/>
      <c r="H53"/>
      <c r="I53"/>
      <c r="J53"/>
      <c r="K53"/>
    </row>
    <row r="54" spans="1:11" ht="15" customHeight="1" x14ac:dyDescent="0.25">
      <c r="A54"/>
      <c r="B54"/>
      <c r="C54"/>
      <c r="D54"/>
      <c r="E54"/>
      <c r="F54"/>
      <c r="G54"/>
      <c r="H54"/>
      <c r="I54"/>
      <c r="J54"/>
      <c r="K54"/>
    </row>
    <row r="55" spans="1:11" ht="15" customHeight="1" x14ac:dyDescent="0.25">
      <c r="A55"/>
      <c r="B55"/>
      <c r="C55"/>
      <c r="D55"/>
      <c r="E55"/>
      <c r="F55"/>
      <c r="G55"/>
      <c r="H55"/>
      <c r="I55"/>
      <c r="J55"/>
      <c r="K55"/>
    </row>
    <row r="56" spans="1:11" ht="15" customHeight="1" x14ac:dyDescent="0.25">
      <c r="A56"/>
      <c r="B56"/>
      <c r="C56"/>
      <c r="D56"/>
      <c r="E56"/>
      <c r="F56"/>
      <c r="G56"/>
      <c r="H56"/>
      <c r="I56"/>
      <c r="J56"/>
      <c r="K56"/>
    </row>
    <row r="57" spans="1:11" ht="15" customHeight="1" x14ac:dyDescent="0.25">
      <c r="A57"/>
      <c r="B57"/>
      <c r="C57"/>
      <c r="D57"/>
      <c r="E57"/>
      <c r="F57"/>
      <c r="G57"/>
      <c r="H57"/>
      <c r="I57"/>
      <c r="J57"/>
      <c r="K57"/>
    </row>
    <row r="58" spans="1:11" ht="15" customHeight="1" x14ac:dyDescent="0.25">
      <c r="A58"/>
      <c r="B58"/>
      <c r="C58"/>
      <c r="D58"/>
      <c r="E58"/>
      <c r="F58"/>
      <c r="G58"/>
      <c r="H58"/>
      <c r="I58"/>
      <c r="J58"/>
      <c r="K58"/>
    </row>
    <row r="59" spans="1:11" ht="15" customHeight="1" x14ac:dyDescent="0.25">
      <c r="A59"/>
      <c r="B59"/>
      <c r="C59"/>
      <c r="D59"/>
      <c r="E59"/>
      <c r="F59"/>
      <c r="G59"/>
      <c r="H59"/>
      <c r="I59"/>
      <c r="J59"/>
      <c r="K59"/>
    </row>
    <row r="60" spans="1:11" ht="15" customHeight="1" x14ac:dyDescent="0.25">
      <c r="A60"/>
      <c r="B60"/>
      <c r="C60"/>
      <c r="D60"/>
      <c r="E60"/>
      <c r="F60"/>
      <c r="G60"/>
      <c r="H60"/>
      <c r="I60"/>
      <c r="J60"/>
      <c r="K60"/>
    </row>
    <row r="61" spans="1:11" ht="15" customHeight="1" x14ac:dyDescent="0.25">
      <c r="A61"/>
      <c r="B61"/>
      <c r="C61"/>
      <c r="D61"/>
      <c r="E61"/>
      <c r="F61"/>
      <c r="G61"/>
      <c r="H61"/>
      <c r="I61"/>
      <c r="J61"/>
      <c r="K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Selvam Ramasamy</dc:creator>
  <cp:lastModifiedBy>Mohamed Haji Nafeel F</cp:lastModifiedBy>
  <dcterms:created xsi:type="dcterms:W3CDTF">2024-12-31T10:20:25Z</dcterms:created>
  <dcterms:modified xsi:type="dcterms:W3CDTF">2025-02-11T17:42:52Z</dcterms:modified>
</cp:coreProperties>
</file>