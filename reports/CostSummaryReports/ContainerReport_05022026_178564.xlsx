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st Summary 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<sst xmlns="http://schemas.openxmlformats.org/spreadsheetml/2006/main" uniqueCount="342">
  <si>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REFERENCE SA</t>
  </si>
  <si>
    <t>CONTAINER #</t>
  </si>
  <si>
    <t>TOTAL PIECES</t>
  </si>
  <si>
    <t>VOLUMEN</t>
  </si>
  <si>
    <t>CFT</t>
  </si>
  <si>
    <t>FRA AGENCIA DE ADUANAS</t>
  </si>
  <si>
    <t>CUSTOMS AGENCY</t>
  </si>
  <si>
    <t>FRA TRANSPORTE</t>
  </si>
  <si>
    <t>TRANSPORTTE / ITR</t>
  </si>
  <si>
    <t>FACTURA PUERTO</t>
  </si>
  <si>
    <t>PUERTO</t>
  </si>
  <si>
    <t>FACTURA PHYTO</t>
  </si>
  <si>
    <t>PHYTO</t>
  </si>
  <si>
    <t>FACTURA DE FUMIGACION</t>
  </si>
  <si>
    <t>FUMIGACION</t>
  </si>
  <si>
    <t>FACTURA NAVIERA</t>
  </si>
  <si>
    <t>NAVIERA</t>
  </si>
  <si>
    <t>FACTURA COTEROS</t>
  </si>
  <si>
    <t>COTEROS</t>
  </si>
  <si>
    <t>INCENTIVO</t>
  </si>
  <si>
    <t>MOTOCARGAS</t>
  </si>
  <si>
    <t>OTHER COSTS</t>
  </si>
  <si>
    <t>TOTAL DE EXPORTACION POR CONTENEDOR</t>
  </si>
  <si>
    <t>COSTO DE MATERIAL</t>
  </si>
  <si>
    <t>TOTAL DE LOS COSTOS</t>
  </si>
  <si>
    <t>VR VENTA UNT</t>
  </si>
  <si>
    <t>VR VENTA CONT TOTAL</t>
  </si>
  <si>
    <t>TRM</t>
  </si>
  <si>
    <t>VR PESOS INGRESO</t>
  </si>
  <si>
    <t>PERDIDA / GANANCIA</t>
  </si>
  <si>
    <t>MES</t>
  </si>
  <si>
    <t>HECTOR2</t>
  </si>
  <si>
    <t>CCLU7363231</t>
  </si>
  <si>
    <t>SA001/2025</t>
  </si>
  <si>
    <t>CSNU8123249</t>
  </si>
  <si>
    <t>JANUARY</t>
  </si>
  <si>
    <t>CSLU6243150</t>
  </si>
  <si>
    <t>CSNU8123249L</t>
  </si>
  <si>
    <t>SA002/2025</t>
  </si>
  <si>
    <t>CSNU8193143</t>
  </si>
  <si>
    <t>FFAU3412637</t>
  </si>
  <si>
    <t>UETU5403021</t>
  </si>
  <si>
    <t>UETU5186142</t>
  </si>
  <si>
    <t>FCIU7413290</t>
  </si>
  <si>
    <t>FFAU2404318</t>
  </si>
  <si>
    <t>MAGU5523441</t>
  </si>
  <si>
    <t>FSCU8451566</t>
  </si>
  <si>
    <t>CSLU6185054</t>
  </si>
  <si>
    <t>FCIU9526613</t>
  </si>
  <si>
    <t>SA003/2025</t>
  </si>
  <si>
    <t>CSNU8031060L</t>
  </si>
  <si>
    <t>UETU5376918</t>
  </si>
  <si>
    <t>CSNU7207556</t>
  </si>
  <si>
    <t>UETU5376918L</t>
  </si>
  <si>
    <t>CSNU6993430</t>
  </si>
  <si>
    <t>CSNU8031060</t>
  </si>
  <si>
    <t>CSNU6812850</t>
  </si>
  <si>
    <t>SA004/2025</t>
  </si>
  <si>
    <t>CSNU6018814</t>
  </si>
  <si>
    <t>OOCU7854110</t>
  </si>
  <si>
    <t>TRHU4013751</t>
  </si>
  <si>
    <t>CSNU7849155</t>
  </si>
  <si>
    <t>FFAU3547592</t>
  </si>
  <si>
    <t>XYLU8121480</t>
  </si>
  <si>
    <t>TIIU6814375</t>
  </si>
  <si>
    <t>BEAU5592492</t>
  </si>
  <si>
    <t>OOLU9509758</t>
  </si>
  <si>
    <t>FCIU9629273</t>
  </si>
  <si>
    <t>SA005/2025</t>
  </si>
  <si>
    <t>FFAU3627430</t>
  </si>
  <si>
    <t>FFAU3183340</t>
  </si>
  <si>
    <t>UETU5360402</t>
  </si>
  <si>
    <t>CBHU9021557</t>
  </si>
  <si>
    <t>SA006/2025</t>
  </si>
  <si>
    <t>FFAU3391010</t>
  </si>
  <si>
    <t>TIIU5950211</t>
  </si>
  <si>
    <t>CSNU6137602</t>
  </si>
  <si>
    <t>CSNU6985408</t>
  </si>
  <si>
    <t>DFSU7445938</t>
  </si>
  <si>
    <t>TGBU8591271</t>
  </si>
  <si>
    <t>SA007/2025</t>
  </si>
  <si>
    <t>OOCU6925740</t>
  </si>
  <si>
    <t>OOCU6809729</t>
  </si>
  <si>
    <t>CSNU8061928</t>
  </si>
  <si>
    <t>TRHU5874820</t>
  </si>
  <si>
    <t>OOCU7112512</t>
  </si>
  <si>
    <t>BSIU9400710</t>
  </si>
  <si>
    <t>CSNU7814740</t>
  </si>
  <si>
    <t>FCIU7096642</t>
  </si>
  <si>
    <t>TIIU4956560</t>
  </si>
  <si>
    <t>BEAU6158304</t>
  </si>
  <si>
    <t>TRHU5710262</t>
  </si>
  <si>
    <t>OOCU7651854L</t>
  </si>
  <si>
    <t>FCIU9923626</t>
  </si>
  <si>
    <t>OOCU7651854</t>
  </si>
  <si>
    <t>FCIU9969951</t>
  </si>
  <si>
    <t>FCIU9969951L</t>
  </si>
  <si>
    <t>SA008/2025</t>
  </si>
  <si>
    <t>OOCU7679070</t>
  </si>
  <si>
    <t>UETU5257842</t>
  </si>
  <si>
    <t>FDCU0110219</t>
  </si>
  <si>
    <t>OOCU7366728</t>
  </si>
  <si>
    <t>OOLU4932725</t>
  </si>
  <si>
    <t>SA009/2025</t>
  </si>
  <si>
    <t>TIIU6803766</t>
  </si>
  <si>
    <t>SEGU6642835</t>
  </si>
  <si>
    <t>OOCU7691625</t>
  </si>
  <si>
    <t>CSNU6509280</t>
  </si>
  <si>
    <t>CSNU7582011</t>
  </si>
  <si>
    <t>SA010/2025</t>
  </si>
  <si>
    <t>CSNU6531771</t>
  </si>
  <si>
    <t>FEBRUARY</t>
  </si>
  <si>
    <t>CAAU6120609</t>
  </si>
  <si>
    <t>CAAU6120609L</t>
  </si>
  <si>
    <t>UETU5467031L</t>
  </si>
  <si>
    <t>UETU5467031</t>
  </si>
  <si>
    <t>SA011/2025</t>
  </si>
  <si>
    <t>FSCU8986085</t>
  </si>
  <si>
    <t>UETU5957527</t>
  </si>
  <si>
    <t>CSLU6043091</t>
  </si>
  <si>
    <t>TGBU4110341</t>
  </si>
  <si>
    <t>CCLU7664024</t>
  </si>
  <si>
    <t>CSNU7219860</t>
  </si>
  <si>
    <t>TGBU4124670</t>
  </si>
  <si>
    <t>SA012/2025</t>
  </si>
  <si>
    <t>OOCU7295199</t>
  </si>
  <si>
    <t>TEMU6154689</t>
  </si>
  <si>
    <t>MAGU5566459</t>
  </si>
  <si>
    <t>CCLU7657025</t>
  </si>
  <si>
    <t>SA013/2025</t>
  </si>
  <si>
    <t>DFSU6917198</t>
  </si>
  <si>
    <t>TIIU5814832</t>
  </si>
  <si>
    <t>CSNU8266070</t>
  </si>
  <si>
    <t>BMOU5368002</t>
  </si>
  <si>
    <t>CSNU7547772</t>
  </si>
  <si>
    <t>FCIU9934066</t>
  </si>
  <si>
    <t>CSNU7547772L</t>
  </si>
  <si>
    <t>SA014/2025</t>
  </si>
  <si>
    <t>CSNU7336105</t>
  </si>
  <si>
    <t>DFSU6856209</t>
  </si>
  <si>
    <t>FCIU9432725</t>
  </si>
  <si>
    <t>FCIU9432725L</t>
  </si>
  <si>
    <t>FSCU8030720</t>
  </si>
  <si>
    <t>TCKU7898145</t>
  </si>
  <si>
    <t>TGBU5219954</t>
  </si>
  <si>
    <t>TCNU6564364</t>
  </si>
  <si>
    <t>SA015/2025</t>
  </si>
  <si>
    <t>TRHU8738520</t>
  </si>
  <si>
    <t>CSNU8495971</t>
  </si>
  <si>
    <t>OOCU7540589</t>
  </si>
  <si>
    <t>TGBU8827860</t>
  </si>
  <si>
    <t>CSNU6094331</t>
  </si>
  <si>
    <t>OOCU8373830</t>
  </si>
  <si>
    <t>TGHU6878372</t>
  </si>
  <si>
    <t>FFAU1564029</t>
  </si>
  <si>
    <t>CSNU6334999</t>
  </si>
  <si>
    <t>TIIU5795985</t>
  </si>
  <si>
    <t>SA016/2025</t>
  </si>
  <si>
    <t>CSNU8100428</t>
  </si>
  <si>
    <t>OOCU7508170</t>
  </si>
  <si>
    <t>TIIU5726515</t>
  </si>
  <si>
    <t>TIIU5726515L</t>
  </si>
  <si>
    <t>SEKU4558102</t>
  </si>
  <si>
    <t>CBHU7058325</t>
  </si>
  <si>
    <t>CSNU8115243</t>
  </si>
  <si>
    <t>CSNU7817219</t>
  </si>
  <si>
    <t>OOCU8102421</t>
  </si>
  <si>
    <t>SA017/2025</t>
  </si>
  <si>
    <t>FFAU3488150</t>
  </si>
  <si>
    <t>MARCH</t>
  </si>
  <si>
    <t>FFAU3203344</t>
  </si>
  <si>
    <t>TRHU5535299</t>
  </si>
  <si>
    <t>TGBU9309022</t>
  </si>
  <si>
    <t>OOCU7840307</t>
  </si>
  <si>
    <t>OOCU7935763</t>
  </si>
  <si>
    <t>FSCU8955654</t>
  </si>
  <si>
    <t>CSNU8470680</t>
  </si>
  <si>
    <t>DFSU7303471</t>
  </si>
  <si>
    <t>CSNU8538414</t>
  </si>
  <si>
    <t>CSNU6001318</t>
  </si>
  <si>
    <t>CSNU8531370</t>
  </si>
  <si>
    <t>SA018/2025</t>
  </si>
  <si>
    <t>OOCU6513188</t>
  </si>
  <si>
    <t>TEMU6290638</t>
  </si>
  <si>
    <t>TCNU1519254</t>
  </si>
  <si>
    <t>CSLU6288324</t>
  </si>
  <si>
    <t>CSNU7479298</t>
  </si>
  <si>
    <t>CSNU7221744</t>
  </si>
  <si>
    <t>SA019/2025</t>
  </si>
  <si>
    <t>DFSU7615443</t>
  </si>
  <si>
    <t>DFSU7383651</t>
  </si>
  <si>
    <t>CSNU7155766</t>
  </si>
  <si>
    <t>CBHU9456483</t>
  </si>
  <si>
    <t>CCLU7785200</t>
  </si>
  <si>
    <t>CSLU6306095</t>
  </si>
  <si>
    <t>FCIU9677883</t>
  </si>
  <si>
    <t>SA020/2025</t>
  </si>
  <si>
    <t>CMAU4689844</t>
  </si>
  <si>
    <t>SEKU5575911</t>
  </si>
  <si>
    <t>TCNU5286490</t>
  </si>
  <si>
    <t>CAAU6248586</t>
  </si>
  <si>
    <t>CAIU8691615</t>
  </si>
  <si>
    <t>TLLU7969075</t>
  </si>
  <si>
    <t>TCLU6543981</t>
  </si>
  <si>
    <t>TCNU8564281</t>
  </si>
  <si>
    <t>TCNU2674147</t>
  </si>
  <si>
    <t>SA021/2025</t>
  </si>
  <si>
    <t>CMAU7182257</t>
  </si>
  <si>
    <t>CMAU7769310</t>
  </si>
  <si>
    <t>BEAU5622299</t>
  </si>
  <si>
    <t>CAIU8968119</t>
  </si>
  <si>
    <t>CMAU8810281</t>
  </si>
  <si>
    <t>SA022/2025</t>
  </si>
  <si>
    <t>CMAU6882913</t>
  </si>
  <si>
    <t>CMAU5596113</t>
  </si>
  <si>
    <t>TCNU2827626</t>
  </si>
  <si>
    <t>CMAU5843548</t>
  </si>
  <si>
    <t>TEMU6959488</t>
  </si>
  <si>
    <t>TCNU5431428</t>
  </si>
  <si>
    <t>SA023/2025</t>
  </si>
  <si>
    <t>CSNU6604986</t>
  </si>
  <si>
    <t>TGBU8786205</t>
  </si>
  <si>
    <t>TCNU1736748</t>
  </si>
  <si>
    <t>FDCU0101310</t>
  </si>
  <si>
    <t>CSNU7236765</t>
  </si>
  <si>
    <t>CSNU7236765L</t>
  </si>
  <si>
    <t>SA024/2025</t>
  </si>
  <si>
    <t>TCLU5448906</t>
  </si>
  <si>
    <t>CMAU7253601</t>
  </si>
  <si>
    <t>GESU6775880</t>
  </si>
  <si>
    <t>CMAU8998970</t>
  </si>
  <si>
    <t>CMAU6004965</t>
  </si>
  <si>
    <t>TCKU7900052</t>
  </si>
  <si>
    <t>FFAU4566679</t>
  </si>
  <si>
    <t>SA025/2025</t>
  </si>
  <si>
    <t>CMAU4038009</t>
  </si>
  <si>
    <t>TCNU2174630</t>
  </si>
  <si>
    <t>MAGU5349284</t>
  </si>
  <si>
    <t>GAOU6974847</t>
  </si>
  <si>
    <t>CMAU5808300</t>
  </si>
  <si>
    <t>TRHU8112990</t>
  </si>
  <si>
    <t>CMAU7259636</t>
  </si>
  <si>
    <t>CMAU4487709</t>
  </si>
  <si>
    <t>CAIU9468870</t>
  </si>
  <si>
    <t>TCNU4693085</t>
  </si>
  <si>
    <t>SA026/2025</t>
  </si>
  <si>
    <t>CMAU6377146</t>
  </si>
  <si>
    <t>CMAU5708276</t>
  </si>
  <si>
    <t>TCNU7972740</t>
  </si>
  <si>
    <t>SA027/2025</t>
  </si>
  <si>
    <t>BSIU9474651</t>
  </si>
  <si>
    <t>FBLU0190979</t>
  </si>
  <si>
    <t>FCIU7022249</t>
  </si>
  <si>
    <t>FSCU8744760</t>
  </si>
  <si>
    <t>TEMU7244220</t>
  </si>
  <si>
    <t>CSNU6320700</t>
  </si>
  <si>
    <t>CSNU8330101</t>
  </si>
  <si>
    <t>BEAU5782424</t>
  </si>
  <si>
    <t>TGBU5017300</t>
  </si>
  <si>
    <t>CSNU7457961</t>
  </si>
  <si>
    <t>TGBU8821630</t>
  </si>
  <si>
    <t>CCLU7726110</t>
  </si>
  <si>
    <t>CCLU7472649</t>
  </si>
  <si>
    <t>TRHU5740647</t>
  </si>
  <si>
    <t>MAGU5330669</t>
  </si>
  <si>
    <t>SA028/2025</t>
  </si>
  <si>
    <t>BSIU9439917</t>
  </si>
  <si>
    <t>OOCU6795456</t>
  </si>
  <si>
    <t>BSIU9561099</t>
  </si>
  <si>
    <t>FFAU2422902</t>
  </si>
  <si>
    <t>SA029/2025</t>
  </si>
  <si>
    <t>FFAU3248246</t>
  </si>
  <si>
    <t>CSNU6388402</t>
  </si>
  <si>
    <t>TGBU4364500</t>
  </si>
  <si>
    <t>UETU5195885</t>
  </si>
  <si>
    <t>OOCU6996430</t>
  </si>
  <si>
    <t>CSNU8145166L</t>
  </si>
  <si>
    <t>CSNU8145166</t>
  </si>
  <si>
    <t>SA030/2025</t>
  </si>
  <si>
    <t>SEKU4354496</t>
  </si>
  <si>
    <t>TGBU9656968</t>
  </si>
  <si>
    <t>UETU5954301</t>
  </si>
  <si>
    <t>CSNU6818627</t>
  </si>
  <si>
    <t>BEAU5576146</t>
  </si>
  <si>
    <t>TCNU2580449</t>
  </si>
  <si>
    <t>CSNU7254244</t>
  </si>
  <si>
    <t>TGBU4815481</t>
  </si>
  <si>
    <t>CCLU7782407</t>
  </si>
  <si>
    <t>MAGU5643030</t>
  </si>
  <si>
    <t>SA031/2025</t>
  </si>
  <si>
    <t>BEAU4028235</t>
  </si>
  <si>
    <t>TGBU5575641</t>
  </si>
  <si>
    <t>CMAU5901480</t>
  </si>
  <si>
    <t>CMAU8434158</t>
  </si>
  <si>
    <t>TCNU5873796</t>
  </si>
  <si>
    <t>GCXU5829851</t>
  </si>
  <si>
    <t>BMOU6090045</t>
  </si>
  <si>
    <t>TCNU7842813</t>
  </si>
  <si>
    <t>CMAU4290290</t>
  </si>
  <si>
    <t>CMAU4692010</t>
  </si>
  <si>
    <t>TEMU7543561</t>
  </si>
  <si>
    <t>TCNU4479432</t>
  </si>
  <si>
    <t>TCNU3633116</t>
  </si>
  <si>
    <t>CMAU8881140</t>
  </si>
  <si>
    <t>CMAU4791959</t>
  </si>
  <si>
    <t>SA032/2025</t>
  </si>
  <si>
    <t>TCNU3983285</t>
  </si>
  <si>
    <t>TCLU1498787</t>
  </si>
  <si>
    <t>CMAU8626320</t>
  </si>
  <si>
    <t>CMAU8593376</t>
  </si>
  <si>
    <t>SA033/2025</t>
  </si>
  <si>
    <t>TCNU3027314</t>
  </si>
  <si>
    <t>CMAU7977422</t>
  </si>
  <si>
    <t>CMAU8961288</t>
  </si>
  <si>
    <t>TRHU8081944</t>
  </si>
  <si>
    <t>SKIU9073556</t>
  </si>
  <si>
    <t>CMAU6694958</t>
  </si>
  <si>
    <t>CMAU4424716</t>
  </si>
  <si>
    <t>CRSU9259405</t>
  </si>
  <si>
    <t>GESU6896270L</t>
  </si>
  <si>
    <t>CMAU7880010</t>
  </si>
  <si>
    <t>GESU6896270</t>
  </si>
  <si>
    <t>SA035/2025</t>
  </si>
  <si>
    <t>CMAU7479184</t>
  </si>
  <si>
    <t>TRHU8586474</t>
  </si>
  <si>
    <t>SEGU5140302</t>
  </si>
  <si>
    <t>TEMU8289528</t>
  </si>
  <si>
    <t>APHU6799652</t>
  </si>
  <si>
    <t>APHU6799652L</t>
  </si>
  <si>
    <t>WOODEX</t>
  </si>
  <si>
    <t>CSLU6078518</t>
  </si>
  <si>
    <t>CBHU9448929</t>
  </si>
  <si>
    <t>SEKU4679790</t>
  </si>
  <si>
    <t>TGBU4868368</t>
  </si>
  <si>
    <t>TCNU1328284</t>
  </si>
  <si>
    <t>FFAU3499278</t>
  </si>
  <si>
    <t>TCNU1328284L</t>
  </si>
  <si>
    <t>FFAU3615486</t>
  </si>
  <si>
    <t>FSCU8983907</t>
  </si>
  <si>
    <t>FCIU9691650</t>
  </si>
  <si>
    <t>FSCU8983907L</t>
  </si>
  <si>
    <t>DFSU7439750</t>
  </si>
</sst>
</file>

<file path=xl/styles.xml><?xml version="1.0" encoding="utf-8"?>
<styleSheet xmlns="http://schemas.openxmlformats.org/spreadsheetml/2006/main" xml:space="preserve">
  <numFmts count="3">
    <numFmt numFmtId="164" formatCode="_(* #,##0.000_);_(* (#,##0.000);_(* &quot;-&quot;??_);_(@_)"/>
    <numFmt numFmtId="165" formatCode="_-&quot;$&quot; * #,##0.00_-;-&quot;$&quot; * #,##0.00_-;_-&quot;$&quot; * &quot;-&quot;??_-;_-@_-"/>
    <numFmt numFmtId="166" formatCode="_(* #,##0_);_(* (#,##0);_(* &quot;-&quot;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75"/>
  <sheetViews>
    <sheetView tabSelected="1" workbookViewId="0" zoomScale="95" showGridLines="true" showRowColHeaders="1">
      <selection activeCell="AC2" sqref="AC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5.281982" bestFit="true" customWidth="true" style="0"/>
    <col min="5" max="5" width="11.711426" bestFit="true" customWidth="true" style="0"/>
    <col min="6" max="6" width="20" customWidth="true" style="0"/>
    <col min="7" max="7" width="17.567139" bestFit="true" customWidth="true" style="0"/>
    <col min="8" max="8" width="20" customWidth="true" style="0"/>
    <col min="9" max="9" width="21.137695" bestFit="true" customWidth="true" style="0"/>
    <col min="10" max="10" width="17.567139" bestFit="true" customWidth="true" style="0"/>
    <col min="11" max="11" width="8.140869" bestFit="true" customWidth="true" style="0"/>
    <col min="12" max="12" width="16.424561" bestFit="true" customWidth="true" style="0"/>
    <col min="13" max="13" width="6.998291" bestFit="true" customWidth="true" style="0"/>
    <col min="14" max="14" width="20" customWidth="true" style="0"/>
    <col min="15" max="15" width="12.854004" bestFit="true" customWidth="true" style="0"/>
    <col min="16" max="16" width="18.709717" bestFit="true" customWidth="true" style="0"/>
    <col min="17" max="17" width="9.283447" bestFit="true" customWidth="true" style="0"/>
    <col min="18" max="18" width="18.709717" bestFit="true" customWidth="true" style="0"/>
    <col min="19" max="19" width="9.283447" bestFit="true" customWidth="true" style="0"/>
    <col min="20" max="20" width="11.711426" bestFit="true" customWidth="true" style="0"/>
    <col min="21" max="21" width="12.854004" bestFit="true" customWidth="true" style="0"/>
    <col min="22" max="22" width="25" customWidth="true" style="0"/>
    <col min="23" max="23" width="42.418213" bestFit="true" customWidth="true" style="0"/>
    <col min="24" max="24" width="25.85083" bestFit="true" customWidth="true" style="0"/>
    <col min="25" max="25" width="25.85083" bestFit="true" customWidth="true" style="0"/>
    <col min="26" max="26" width="15.281982" bestFit="true" customWidth="true" style="0"/>
    <col min="27" max="27" width="23.422852" bestFit="true" customWidth="true" style="0"/>
    <col min="28" max="28" width="15" customWidth="true" style="0"/>
    <col min="29" max="29" width="19.995117" bestFit="true" customWidth="true" style="0"/>
    <col min="30" max="30" width="22.280273" bestFit="true" customWidth="true" style="0"/>
    <col min="31" max="31" width="10.568848" bestFit="true" customWidth="true" style="0"/>
  </cols>
  <sheetData>
    <row r="2" spans="1:32">
      <c r="C2" s="6" t="str">
        <f>SUBTOTAL(9, C4:C275)</f>
        <v>0</v>
      </c>
      <c r="D2" s="7" t="str">
        <f>SUBTOTAL(9, D4:D275)</f>
        <v>0</v>
      </c>
      <c r="G2" s="8" t="str">
        <f>SUBTOTAL(9, G4:G275)</f>
        <v>0</v>
      </c>
      <c r="I2" s="8" t="str">
        <f>SUBTOTAL(9, I4:I275)</f>
        <v>0</v>
      </c>
      <c r="K2" s="8" t="str">
        <f>SUBTOTAL(9, K4:K275)</f>
        <v>0</v>
      </c>
      <c r="M2" s="8" t="str">
        <f>SUBTOTAL(9, M4:M275)</f>
        <v>0</v>
      </c>
      <c r="O2" s="8" t="str">
        <f>SUBTOTAL(9, O4:O275)</f>
        <v>0</v>
      </c>
      <c r="Q2" s="8" t="str">
        <f>SUBTOTAL(9, Q4:Q275)</f>
        <v>0</v>
      </c>
      <c r="S2" s="8" t="str">
        <f>SUBTOTAL(9, S4:S275)</f>
        <v>0</v>
      </c>
      <c r="T2" s="8" t="str">
        <f>SUBTOTAL(9, T4:T275)</f>
        <v>0</v>
      </c>
      <c r="U2" s="8" t="str">
        <f>SUBTOTAL(9, U4:U275)</f>
        <v>0</v>
      </c>
      <c r="V2" s="8" t="str">
        <f>SUBTOTAL(9, V4:V275)</f>
        <v>0</v>
      </c>
      <c r="W2" s="8" t="str">
        <f>SUBTOTAL(9, W4:W275)</f>
        <v>0</v>
      </c>
      <c r="X2" s="8" t="str">
        <f>SUBTOTAL(9, X4:X275)</f>
        <v>0</v>
      </c>
      <c r="Y2" s="8" t="str">
        <f>SUBTOTAL(9, Y4:Y275)</f>
        <v>0</v>
      </c>
      <c r="AA2" s="8" t="str">
        <f>SUBTOTAL(9, AA4:AA275)</f>
        <v>0</v>
      </c>
      <c r="AC2" s="8" t="str">
        <f>SUBTOTAL(9, AC4:AC275)</f>
        <v>0</v>
      </c>
    </row>
    <row r="3" spans="1:3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</row>
    <row r="4" spans="1:32">
      <c r="A4" s="3" t="s">
        <v>31</v>
      </c>
      <c r="B4" s="3" t="s">
        <v>32</v>
      </c>
      <c r="C4" s="3">
        <v>57</v>
      </c>
      <c r="D4" s="4">
        <v>18.148</v>
      </c>
      <c r="E4" s="4">
        <v>12.26</v>
      </c>
      <c r="F4" s="3"/>
      <c r="G4" s="5"/>
      <c r="H4" s="3"/>
      <c r="I4" s="5"/>
      <c r="J4" s="3"/>
      <c r="K4" s="5"/>
      <c r="L4" s="3"/>
      <c r="M4" s="5"/>
      <c r="N4" s="3"/>
      <c r="O4" s="5"/>
      <c r="P4" s="3"/>
      <c r="Q4" s="5"/>
      <c r="R4" s="3"/>
      <c r="S4" s="5"/>
      <c r="T4" s="5"/>
      <c r="U4" s="5">
        <v>0</v>
      </c>
      <c r="V4" s="5"/>
      <c r="W4" s="5" t="str">
        <f>G4+I4+K4+M4+O4+Q4+S4+T4+U4+Y4</f>
        <v>0</v>
      </c>
      <c r="X4" s="5">
        <v>24291455.616</v>
      </c>
      <c r="Y4" s="5" t="str">
        <f>W4+X4</f>
        <v>0</v>
      </c>
      <c r="Z4" s="5">
        <v>0</v>
      </c>
      <c r="AA4" s="5" t="str">
        <f>Z4*D4</f>
        <v>0</v>
      </c>
      <c r="AB4" s="5">
        <v>0</v>
      </c>
      <c r="AC4" s="5" t="str">
        <f>AA4*AB4</f>
        <v>0</v>
      </c>
      <c r="AD4" s="5" t="str">
        <f>AC4-Y4</f>
        <v>0</v>
      </c>
      <c r="AE4" s="3"/>
      <c r="AF4" s="2"/>
    </row>
    <row r="5" spans="1:32">
      <c r="A5" s="3" t="s">
        <v>33</v>
      </c>
      <c r="B5" s="3" t="s">
        <v>34</v>
      </c>
      <c r="C5" s="3">
        <v>14</v>
      </c>
      <c r="D5" s="4">
        <v>1.634</v>
      </c>
      <c r="E5" s="4">
        <v>4.521</v>
      </c>
      <c r="F5" s="3"/>
      <c r="G5" s="5"/>
      <c r="H5" s="3"/>
      <c r="I5" s="5"/>
      <c r="J5" s="3"/>
      <c r="K5" s="5"/>
      <c r="L5" s="3"/>
      <c r="M5" s="5"/>
      <c r="N5" s="3"/>
      <c r="O5" s="5"/>
      <c r="P5" s="3"/>
      <c r="Q5" s="5"/>
      <c r="R5" s="3"/>
      <c r="S5" s="5"/>
      <c r="T5" s="5"/>
      <c r="U5" s="5">
        <v>0</v>
      </c>
      <c r="V5" s="5"/>
      <c r="W5" s="5" t="str">
        <f>G5+I5+K5+M5+O5+Q5+S5+T5+U5+Y5</f>
        <v>0</v>
      </c>
      <c r="X5" s="5">
        <v>1748000.002</v>
      </c>
      <c r="Y5" s="5" t="str">
        <f>W5+X5</f>
        <v>0</v>
      </c>
      <c r="Z5" s="5">
        <v>0</v>
      </c>
      <c r="AA5" s="5" t="str">
        <f>Z5*D5</f>
        <v>0</v>
      </c>
      <c r="AB5" s="5">
        <v>0</v>
      </c>
      <c r="AC5" s="5" t="str">
        <f>AA5*AB5</f>
        <v>0</v>
      </c>
      <c r="AD5" s="5" t="str">
        <f>AC5-Y5</f>
        <v>0</v>
      </c>
      <c r="AE5" s="3" t="s">
        <v>35</v>
      </c>
      <c r="AF5" s="2"/>
    </row>
    <row r="6" spans="1:32">
      <c r="A6" s="3" t="s">
        <v>33</v>
      </c>
      <c r="B6" s="3" t="s">
        <v>36</v>
      </c>
      <c r="C6" s="3">
        <v>78</v>
      </c>
      <c r="D6" s="4">
        <v>18.265</v>
      </c>
      <c r="E6" s="4">
        <v>9.008</v>
      </c>
      <c r="F6" s="3"/>
      <c r="G6" s="5"/>
      <c r="H6" s="3"/>
      <c r="I6" s="5"/>
      <c r="J6" s="3"/>
      <c r="K6" s="5"/>
      <c r="L6" s="3"/>
      <c r="M6" s="5"/>
      <c r="N6" s="3"/>
      <c r="O6" s="5"/>
      <c r="P6" s="3"/>
      <c r="Q6" s="5"/>
      <c r="R6" s="3"/>
      <c r="S6" s="5"/>
      <c r="T6" s="5"/>
      <c r="U6" s="5">
        <v>0</v>
      </c>
      <c r="V6" s="5"/>
      <c r="W6" s="5" t="str">
        <f>G6+I6+K6+M6+O6+Q6+S6+T6+U6+Y6</f>
        <v>0</v>
      </c>
      <c r="X6" s="5">
        <v>20476492.296</v>
      </c>
      <c r="Y6" s="5" t="str">
        <f>W6+X6</f>
        <v>0</v>
      </c>
      <c r="Z6" s="5">
        <v>0</v>
      </c>
      <c r="AA6" s="5" t="str">
        <f>Z6*D6</f>
        <v>0</v>
      </c>
      <c r="AB6" s="5">
        <v>0</v>
      </c>
      <c r="AC6" s="5" t="str">
        <f>AA6*AB6</f>
        <v>0</v>
      </c>
      <c r="AD6" s="5" t="str">
        <f>AC6-Y6</f>
        <v>0</v>
      </c>
      <c r="AE6" s="3" t="s">
        <v>35</v>
      </c>
      <c r="AF6" s="2"/>
    </row>
    <row r="7" spans="1:32">
      <c r="A7" s="3" t="s">
        <v>33</v>
      </c>
      <c r="B7" s="3" t="s">
        <v>37</v>
      </c>
      <c r="C7" s="3">
        <v>49</v>
      </c>
      <c r="D7" s="4">
        <v>16.637</v>
      </c>
      <c r="E7" s="4">
        <v>13.03</v>
      </c>
      <c r="F7" s="3"/>
      <c r="G7" s="5"/>
      <c r="H7" s="3"/>
      <c r="I7" s="5"/>
      <c r="J7" s="3"/>
      <c r="K7" s="5"/>
      <c r="L7" s="3"/>
      <c r="M7" s="5"/>
      <c r="N7" s="3"/>
      <c r="O7" s="5"/>
      <c r="P7" s="3"/>
      <c r="Q7" s="5"/>
      <c r="R7" s="3"/>
      <c r="S7" s="5"/>
      <c r="T7" s="5"/>
      <c r="U7" s="5">
        <v>0</v>
      </c>
      <c r="V7" s="5"/>
      <c r="W7" s="5" t="str">
        <f>G7+I7+K7+M7+O7+Q7+S7+T7+U7+Y7</f>
        <v>0</v>
      </c>
      <c r="X7" s="5">
        <v>21716536.723</v>
      </c>
      <c r="Y7" s="5" t="str">
        <f>W7+X7</f>
        <v>0</v>
      </c>
      <c r="Z7" s="5">
        <v>0</v>
      </c>
      <c r="AA7" s="5" t="str">
        <f>Z7*D7</f>
        <v>0</v>
      </c>
      <c r="AB7" s="5">
        <v>0</v>
      </c>
      <c r="AC7" s="5" t="str">
        <f>AA7*AB7</f>
        <v>0</v>
      </c>
      <c r="AD7" s="5" t="str">
        <f>AC7-Y7</f>
        <v>0</v>
      </c>
      <c r="AE7" s="3" t="s">
        <v>35</v>
      </c>
      <c r="AF7" s="2"/>
    </row>
    <row r="8" spans="1:32">
      <c r="A8" s="3" t="s">
        <v>38</v>
      </c>
      <c r="B8" s="3" t="s">
        <v>39</v>
      </c>
      <c r="C8" s="3">
        <v>311</v>
      </c>
      <c r="D8" s="4">
        <v>17.439</v>
      </c>
      <c r="E8" s="4">
        <v>2.234</v>
      </c>
      <c r="F8" s="3"/>
      <c r="G8" s="5"/>
      <c r="H8" s="3"/>
      <c r="I8" s="5"/>
      <c r="J8" s="3"/>
      <c r="K8" s="5"/>
      <c r="L8" s="3"/>
      <c r="M8" s="5"/>
      <c r="N8" s="3"/>
      <c r="O8" s="5"/>
      <c r="P8" s="3"/>
      <c r="Q8" s="5"/>
      <c r="R8" s="3"/>
      <c r="S8" s="5"/>
      <c r="T8" s="5"/>
      <c r="U8" s="5">
        <v>0</v>
      </c>
      <c r="V8" s="5"/>
      <c r="W8" s="5" t="str">
        <f>G8+I8+K8+M8+O8+Q8+S8+T8+U8+Y8</f>
        <v>0</v>
      </c>
      <c r="X8" s="5">
        <v>11242293.905</v>
      </c>
      <c r="Y8" s="5" t="str">
        <f>W8+X8</f>
        <v>0</v>
      </c>
      <c r="Z8" s="5">
        <v>0</v>
      </c>
      <c r="AA8" s="5" t="str">
        <f>Z8*D8</f>
        <v>0</v>
      </c>
      <c r="AB8" s="5">
        <v>0</v>
      </c>
      <c r="AC8" s="5" t="str">
        <f>AA8*AB8</f>
        <v>0</v>
      </c>
      <c r="AD8" s="5" t="str">
        <f>AC8-Y8</f>
        <v>0</v>
      </c>
      <c r="AE8" s="3" t="s">
        <v>35</v>
      </c>
      <c r="AF8" s="2"/>
    </row>
    <row r="9" spans="1:32">
      <c r="A9" s="3" t="s">
        <v>38</v>
      </c>
      <c r="B9" s="3" t="s">
        <v>40</v>
      </c>
      <c r="C9" s="3">
        <v>117</v>
      </c>
      <c r="D9" s="4">
        <v>17.888</v>
      </c>
      <c r="E9" s="4">
        <v>5.96</v>
      </c>
      <c r="F9" s="3"/>
      <c r="G9" s="5"/>
      <c r="H9" s="3"/>
      <c r="I9" s="5"/>
      <c r="J9" s="3"/>
      <c r="K9" s="5"/>
      <c r="L9" s="3"/>
      <c r="M9" s="5"/>
      <c r="N9" s="3"/>
      <c r="O9" s="5"/>
      <c r="P9" s="3"/>
      <c r="Q9" s="5"/>
      <c r="R9" s="3"/>
      <c r="S9" s="5"/>
      <c r="T9" s="5"/>
      <c r="U9" s="5">
        <v>0</v>
      </c>
      <c r="V9" s="5"/>
      <c r="W9" s="5" t="str">
        <f>G9+I9+K9+M9+O9+Q9+S9+T9+U9+Y9</f>
        <v>0</v>
      </c>
      <c r="X9" s="5">
        <v>24155237.574</v>
      </c>
      <c r="Y9" s="5" t="str">
        <f>W9+X9</f>
        <v>0</v>
      </c>
      <c r="Z9" s="5">
        <v>0</v>
      </c>
      <c r="AA9" s="5" t="str">
        <f>Z9*D9</f>
        <v>0</v>
      </c>
      <c r="AB9" s="5">
        <v>0</v>
      </c>
      <c r="AC9" s="5" t="str">
        <f>AA9*AB9</f>
        <v>0</v>
      </c>
      <c r="AD9" s="5" t="str">
        <f>AC9-Y9</f>
        <v>0</v>
      </c>
      <c r="AE9" s="3" t="s">
        <v>35</v>
      </c>
      <c r="AF9" s="2"/>
    </row>
    <row r="10" spans="1:32">
      <c r="A10" s="3" t="s">
        <v>38</v>
      </c>
      <c r="B10" s="3" t="s">
        <v>41</v>
      </c>
      <c r="C10" s="3">
        <v>76</v>
      </c>
      <c r="D10" s="4">
        <v>18.128</v>
      </c>
      <c r="E10" s="4">
        <v>9.171</v>
      </c>
      <c r="F10" s="3"/>
      <c r="G10" s="5"/>
      <c r="H10" s="3"/>
      <c r="I10" s="5"/>
      <c r="J10" s="3"/>
      <c r="K10" s="5"/>
      <c r="L10" s="3"/>
      <c r="M10" s="5"/>
      <c r="N10" s="3"/>
      <c r="O10" s="5"/>
      <c r="P10" s="3"/>
      <c r="Q10" s="5"/>
      <c r="R10" s="3"/>
      <c r="S10" s="5"/>
      <c r="T10" s="5"/>
      <c r="U10" s="5">
        <v>0</v>
      </c>
      <c r="V10" s="5"/>
      <c r="W10" s="5" t="str">
        <f>G10+I10+K10+M10+O10+Q10+S10+T10+U10+Y10</f>
        <v>0</v>
      </c>
      <c r="X10" s="5">
        <v>15690581.672</v>
      </c>
      <c r="Y10" s="5" t="str">
        <f>W10+X10</f>
        <v>0</v>
      </c>
      <c r="Z10" s="5">
        <v>0</v>
      </c>
      <c r="AA10" s="5" t="str">
        <f>Z10*D10</f>
        <v>0</v>
      </c>
      <c r="AB10" s="5">
        <v>0</v>
      </c>
      <c r="AC10" s="5" t="str">
        <f>AA10*AB10</f>
        <v>0</v>
      </c>
      <c r="AD10" s="5" t="str">
        <f>AC10-Y10</f>
        <v>0</v>
      </c>
      <c r="AE10" s="3" t="s">
        <v>35</v>
      </c>
      <c r="AF10" s="2"/>
    </row>
    <row r="11" spans="1:32">
      <c r="A11" s="3" t="s">
        <v>38</v>
      </c>
      <c r="B11" s="3" t="s">
        <v>42</v>
      </c>
      <c r="C11" s="3">
        <v>108</v>
      </c>
      <c r="D11" s="4">
        <v>17.903</v>
      </c>
      <c r="E11" s="4">
        <v>6.436</v>
      </c>
      <c r="F11" s="3"/>
      <c r="G11" s="5"/>
      <c r="H11" s="3"/>
      <c r="I11" s="5"/>
      <c r="J11" s="3"/>
      <c r="K11" s="5"/>
      <c r="L11" s="3"/>
      <c r="M11" s="5"/>
      <c r="N11" s="3"/>
      <c r="O11" s="5"/>
      <c r="P11" s="3"/>
      <c r="Q11" s="5"/>
      <c r="R11" s="3"/>
      <c r="S11" s="5"/>
      <c r="T11" s="5"/>
      <c r="U11" s="5">
        <v>0</v>
      </c>
      <c r="V11" s="5"/>
      <c r="W11" s="5" t="str">
        <f>G11+I11+K11+M11+O11+Q11+S11+T11+U11+Y11</f>
        <v>0</v>
      </c>
      <c r="X11" s="5">
        <v>22297142.376</v>
      </c>
      <c r="Y11" s="5" t="str">
        <f>W11+X11</f>
        <v>0</v>
      </c>
      <c r="Z11" s="5">
        <v>0</v>
      </c>
      <c r="AA11" s="5" t="str">
        <f>Z11*D11</f>
        <v>0</v>
      </c>
      <c r="AB11" s="5">
        <v>0</v>
      </c>
      <c r="AC11" s="5" t="str">
        <f>AA11*AB11</f>
        <v>0</v>
      </c>
      <c r="AD11" s="5" t="str">
        <f>AC11-Y11</f>
        <v>0</v>
      </c>
      <c r="AE11" s="3" t="s">
        <v>35</v>
      </c>
      <c r="AF11" s="2"/>
    </row>
    <row r="12" spans="1:32">
      <c r="A12" s="3" t="s">
        <v>38</v>
      </c>
      <c r="B12" s="3" t="s">
        <v>43</v>
      </c>
      <c r="C12" s="3">
        <v>351</v>
      </c>
      <c r="D12" s="4">
        <v>17.315</v>
      </c>
      <c r="E12" s="4">
        <v>1.974</v>
      </c>
      <c r="F12" s="3"/>
      <c r="G12" s="5"/>
      <c r="H12" s="3"/>
      <c r="I12" s="5"/>
      <c r="J12" s="3"/>
      <c r="K12" s="5"/>
      <c r="L12" s="3"/>
      <c r="M12" s="5"/>
      <c r="N12" s="3"/>
      <c r="O12" s="5"/>
      <c r="P12" s="3"/>
      <c r="Q12" s="5"/>
      <c r="R12" s="3"/>
      <c r="S12" s="5"/>
      <c r="T12" s="5"/>
      <c r="U12" s="5">
        <v>0</v>
      </c>
      <c r="V12" s="5"/>
      <c r="W12" s="5" t="str">
        <f>G12+I12+K12+M12+O12+Q12+S12+T12+U12+Y12</f>
        <v>0</v>
      </c>
      <c r="X12" s="5">
        <v>12688248.105</v>
      </c>
      <c r="Y12" s="5" t="str">
        <f>W12+X12</f>
        <v>0</v>
      </c>
      <c r="Z12" s="5">
        <v>0</v>
      </c>
      <c r="AA12" s="5" t="str">
        <f>Z12*D12</f>
        <v>0</v>
      </c>
      <c r="AB12" s="5">
        <v>0</v>
      </c>
      <c r="AC12" s="5" t="str">
        <f>AA12*AB12</f>
        <v>0</v>
      </c>
      <c r="AD12" s="5" t="str">
        <f>AC12-Y12</f>
        <v>0</v>
      </c>
      <c r="AE12" s="3" t="s">
        <v>35</v>
      </c>
      <c r="AF12" s="2"/>
    </row>
    <row r="13" spans="1:32">
      <c r="A13" s="3" t="s">
        <v>38</v>
      </c>
      <c r="B13" s="3" t="s">
        <v>44</v>
      </c>
      <c r="C13" s="3">
        <v>359</v>
      </c>
      <c r="D13" s="4">
        <v>17.292</v>
      </c>
      <c r="E13" s="4">
        <v>1.931</v>
      </c>
      <c r="F13" s="3"/>
      <c r="G13" s="5"/>
      <c r="H13" s="3"/>
      <c r="I13" s="5"/>
      <c r="J13" s="3"/>
      <c r="K13" s="5"/>
      <c r="L13" s="3"/>
      <c r="M13" s="5"/>
      <c r="N13" s="3"/>
      <c r="O13" s="5"/>
      <c r="P13" s="3"/>
      <c r="Q13" s="5"/>
      <c r="R13" s="3"/>
      <c r="S13" s="5"/>
      <c r="T13" s="5"/>
      <c r="U13" s="5">
        <v>0</v>
      </c>
      <c r="V13" s="5"/>
      <c r="W13" s="5" t="str">
        <f>G13+I13+K13+M13+O13+Q13+S13+T13+U13+Y13</f>
        <v>0</v>
      </c>
      <c r="X13" s="5">
        <v>12977438.945</v>
      </c>
      <c r="Y13" s="5" t="str">
        <f>W13+X13</f>
        <v>0</v>
      </c>
      <c r="Z13" s="5">
        <v>0</v>
      </c>
      <c r="AA13" s="5" t="str">
        <f>Z13*D13</f>
        <v>0</v>
      </c>
      <c r="AB13" s="5">
        <v>0</v>
      </c>
      <c r="AC13" s="5" t="str">
        <f>AA13*AB13</f>
        <v>0</v>
      </c>
      <c r="AD13" s="5" t="str">
        <f>AC13-Y13</f>
        <v>0</v>
      </c>
      <c r="AE13" s="3" t="s">
        <v>35</v>
      </c>
      <c r="AF13" s="2"/>
    </row>
    <row r="14" spans="1:32">
      <c r="A14" s="3" t="s">
        <v>38</v>
      </c>
      <c r="B14" s="3" t="s">
        <v>45</v>
      </c>
      <c r="C14" s="3">
        <v>97</v>
      </c>
      <c r="D14" s="4">
        <v>18</v>
      </c>
      <c r="E14" s="4">
        <v>7.178</v>
      </c>
      <c r="F14" s="3"/>
      <c r="G14" s="5"/>
      <c r="H14" s="3"/>
      <c r="I14" s="5"/>
      <c r="J14" s="3"/>
      <c r="K14" s="5"/>
      <c r="L14" s="3"/>
      <c r="M14" s="5"/>
      <c r="N14" s="3"/>
      <c r="O14" s="5"/>
      <c r="P14" s="3"/>
      <c r="Q14" s="5"/>
      <c r="R14" s="3"/>
      <c r="S14" s="5"/>
      <c r="T14" s="5"/>
      <c r="U14" s="5">
        <v>0</v>
      </c>
      <c r="V14" s="5"/>
      <c r="W14" s="5" t="str">
        <f>G14+I14+K14+M14+O14+Q14+S14+T14+U14+Y14</f>
        <v>0</v>
      </c>
      <c r="X14" s="5">
        <v>20026137.134</v>
      </c>
      <c r="Y14" s="5" t="str">
        <f>W14+X14</f>
        <v>0</v>
      </c>
      <c r="Z14" s="5">
        <v>0</v>
      </c>
      <c r="AA14" s="5" t="str">
        <f>Z14*D14</f>
        <v>0</v>
      </c>
      <c r="AB14" s="5">
        <v>0</v>
      </c>
      <c r="AC14" s="5" t="str">
        <f>AA14*AB14</f>
        <v>0</v>
      </c>
      <c r="AD14" s="5" t="str">
        <f>AC14-Y14</f>
        <v>0</v>
      </c>
      <c r="AE14" s="3" t="s">
        <v>35</v>
      </c>
      <c r="AF14" s="2"/>
    </row>
    <row r="15" spans="1:32">
      <c r="A15" s="3" t="s">
        <v>38</v>
      </c>
      <c r="B15" s="3" t="s">
        <v>46</v>
      </c>
      <c r="C15" s="3">
        <v>60</v>
      </c>
      <c r="D15" s="4">
        <v>18.533</v>
      </c>
      <c r="E15" s="4">
        <v>11.893</v>
      </c>
      <c r="F15" s="3"/>
      <c r="G15" s="5"/>
      <c r="H15" s="3"/>
      <c r="I15" s="5"/>
      <c r="J15" s="3"/>
      <c r="K15" s="5"/>
      <c r="L15" s="3"/>
      <c r="M15" s="5"/>
      <c r="N15" s="3"/>
      <c r="O15" s="5"/>
      <c r="P15" s="3"/>
      <c r="Q15" s="5"/>
      <c r="R15" s="3"/>
      <c r="S15" s="5"/>
      <c r="T15" s="5"/>
      <c r="U15" s="5">
        <v>0</v>
      </c>
      <c r="V15" s="5"/>
      <c r="W15" s="5" t="str">
        <f>G15+I15+K15+M15+O15+Q15+S15+T15+U15+Y15</f>
        <v>0</v>
      </c>
      <c r="X15" s="5">
        <v>24903005.28</v>
      </c>
      <c r="Y15" s="5" t="str">
        <f>W15+X15</f>
        <v>0</v>
      </c>
      <c r="Z15" s="5">
        <v>0</v>
      </c>
      <c r="AA15" s="5" t="str">
        <f>Z15*D15</f>
        <v>0</v>
      </c>
      <c r="AB15" s="5">
        <v>0</v>
      </c>
      <c r="AC15" s="5" t="str">
        <f>AA15*AB15</f>
        <v>0</v>
      </c>
      <c r="AD15" s="5" t="str">
        <f>AC15-Y15</f>
        <v>0</v>
      </c>
      <c r="AE15" s="3" t="s">
        <v>35</v>
      </c>
      <c r="AF15" s="2"/>
    </row>
    <row r="16" spans="1:32">
      <c r="A16" s="3" t="s">
        <v>38</v>
      </c>
      <c r="B16" s="3" t="s">
        <v>47</v>
      </c>
      <c r="C16" s="3">
        <v>280</v>
      </c>
      <c r="D16" s="4">
        <v>17.188</v>
      </c>
      <c r="E16" s="4">
        <v>2.431</v>
      </c>
      <c r="F16" s="3"/>
      <c r="G16" s="5"/>
      <c r="H16" s="3"/>
      <c r="I16" s="5"/>
      <c r="J16" s="3"/>
      <c r="K16" s="5"/>
      <c r="L16" s="3"/>
      <c r="M16" s="5"/>
      <c r="N16" s="3"/>
      <c r="O16" s="5"/>
      <c r="P16" s="3"/>
      <c r="Q16" s="5"/>
      <c r="R16" s="3"/>
      <c r="S16" s="5"/>
      <c r="T16" s="5"/>
      <c r="U16" s="5">
        <v>0</v>
      </c>
      <c r="V16" s="5"/>
      <c r="W16" s="5" t="str">
        <f>G16+I16+K16+M16+O16+Q16+S16+T16+U16+Y16</f>
        <v>0</v>
      </c>
      <c r="X16" s="5">
        <v>10121679.4</v>
      </c>
      <c r="Y16" s="5" t="str">
        <f>W16+X16</f>
        <v>0</v>
      </c>
      <c r="Z16" s="5">
        <v>0</v>
      </c>
      <c r="AA16" s="5" t="str">
        <f>Z16*D16</f>
        <v>0</v>
      </c>
      <c r="AB16" s="5">
        <v>0</v>
      </c>
      <c r="AC16" s="5" t="str">
        <f>AA16*AB16</f>
        <v>0</v>
      </c>
      <c r="AD16" s="5" t="str">
        <f>AC16-Y16</f>
        <v>0</v>
      </c>
      <c r="AE16" s="3" t="s">
        <v>35</v>
      </c>
      <c r="AF16" s="2"/>
    </row>
    <row r="17" spans="1:32">
      <c r="A17" s="3" t="s">
        <v>38</v>
      </c>
      <c r="B17" s="3" t="s">
        <v>48</v>
      </c>
      <c r="C17" s="3">
        <v>57</v>
      </c>
      <c r="D17" s="4">
        <v>16.747</v>
      </c>
      <c r="E17" s="4">
        <v>11.276</v>
      </c>
      <c r="F17" s="3"/>
      <c r="G17" s="5"/>
      <c r="H17" s="3"/>
      <c r="I17" s="5"/>
      <c r="J17" s="3"/>
      <c r="K17" s="5"/>
      <c r="L17" s="3"/>
      <c r="M17" s="5"/>
      <c r="N17" s="3"/>
      <c r="O17" s="5"/>
      <c r="P17" s="3"/>
      <c r="Q17" s="5"/>
      <c r="R17" s="3"/>
      <c r="S17" s="5"/>
      <c r="T17" s="5"/>
      <c r="U17" s="5">
        <v>0</v>
      </c>
      <c r="V17" s="5"/>
      <c r="W17" s="5" t="str">
        <f>G17+I17+K17+M17+O17+Q17+S17+T17+U17+Y17</f>
        <v>0</v>
      </c>
      <c r="X17" s="5">
        <v>23657855.016</v>
      </c>
      <c r="Y17" s="5" t="str">
        <f>W17+X17</f>
        <v>0</v>
      </c>
      <c r="Z17" s="5">
        <v>0</v>
      </c>
      <c r="AA17" s="5" t="str">
        <f>Z17*D17</f>
        <v>0</v>
      </c>
      <c r="AB17" s="5">
        <v>0</v>
      </c>
      <c r="AC17" s="5" t="str">
        <f>AA17*AB17</f>
        <v>0</v>
      </c>
      <c r="AD17" s="5" t="str">
        <f>AC17-Y17</f>
        <v>0</v>
      </c>
      <c r="AE17" s="3" t="s">
        <v>35</v>
      </c>
      <c r="AF17" s="2"/>
    </row>
    <row r="18" spans="1:32">
      <c r="A18" s="3" t="s">
        <v>49</v>
      </c>
      <c r="B18" s="3" t="s">
        <v>50</v>
      </c>
      <c r="C18" s="3">
        <v>76</v>
      </c>
      <c r="D18" s="4">
        <v>15.118</v>
      </c>
      <c r="E18" s="4">
        <v>7.767</v>
      </c>
      <c r="F18" s="3"/>
      <c r="G18" s="5"/>
      <c r="H18" s="3"/>
      <c r="I18" s="5"/>
      <c r="J18" s="3"/>
      <c r="K18" s="5"/>
      <c r="L18" s="3"/>
      <c r="M18" s="5"/>
      <c r="N18" s="3"/>
      <c r="O18" s="5"/>
      <c r="P18" s="3"/>
      <c r="Q18" s="5"/>
      <c r="R18" s="3"/>
      <c r="S18" s="5"/>
      <c r="T18" s="5"/>
      <c r="U18" s="5">
        <v>0</v>
      </c>
      <c r="V18" s="5"/>
      <c r="W18" s="5" t="str">
        <f>G18+I18+K18+M18+O18+Q18+S18+T18+U18+Y18</f>
        <v>0</v>
      </c>
      <c r="X18" s="5">
        <v>22157911.568</v>
      </c>
      <c r="Y18" s="5" t="str">
        <f>W18+X18</f>
        <v>0</v>
      </c>
      <c r="Z18" s="5">
        <v>0</v>
      </c>
      <c r="AA18" s="5" t="str">
        <f>Z18*D18</f>
        <v>0</v>
      </c>
      <c r="AB18" s="5">
        <v>0</v>
      </c>
      <c r="AC18" s="5" t="str">
        <f>AA18*AB18</f>
        <v>0</v>
      </c>
      <c r="AD18" s="5" t="str">
        <f>AC18-Y18</f>
        <v>0</v>
      </c>
      <c r="AE18" s="3" t="s">
        <v>35</v>
      </c>
      <c r="AF18" s="2"/>
    </row>
    <row r="19" spans="1:32">
      <c r="A19" s="3" t="s">
        <v>49</v>
      </c>
      <c r="B19" s="3" t="s">
        <v>51</v>
      </c>
      <c r="C19" s="3">
        <v>80</v>
      </c>
      <c r="D19" s="4">
        <v>3.805</v>
      </c>
      <c r="E19" s="4">
        <v>1.908</v>
      </c>
      <c r="F19" s="3"/>
      <c r="G19" s="5"/>
      <c r="H19" s="3"/>
      <c r="I19" s="5"/>
      <c r="J19" s="3"/>
      <c r="K19" s="5"/>
      <c r="L19" s="3"/>
      <c r="M19" s="5"/>
      <c r="N19" s="3"/>
      <c r="O19" s="5"/>
      <c r="P19" s="3"/>
      <c r="Q19" s="5"/>
      <c r="R19" s="3"/>
      <c r="S19" s="5"/>
      <c r="T19" s="5"/>
      <c r="U19" s="5">
        <v>0</v>
      </c>
      <c r="V19" s="5"/>
      <c r="W19" s="5" t="str">
        <f>G19+I19+K19+M19+O19+Q19+S19+T19+U19+Y19</f>
        <v>0</v>
      </c>
      <c r="X19" s="5">
        <v>3308869.52</v>
      </c>
      <c r="Y19" s="5" t="str">
        <f>W19+X19</f>
        <v>0</v>
      </c>
      <c r="Z19" s="5">
        <v>0</v>
      </c>
      <c r="AA19" s="5" t="str">
        <f>Z19*D19</f>
        <v>0</v>
      </c>
      <c r="AB19" s="5">
        <v>0</v>
      </c>
      <c r="AC19" s="5" t="str">
        <f>AA19*AB19</f>
        <v>0</v>
      </c>
      <c r="AD19" s="5" t="str">
        <f>AC19-Y19</f>
        <v>0</v>
      </c>
      <c r="AE19" s="3" t="s">
        <v>35</v>
      </c>
      <c r="AF19" s="2"/>
    </row>
    <row r="20" spans="1:32">
      <c r="A20" s="3" t="s">
        <v>49</v>
      </c>
      <c r="B20" s="3" t="s">
        <v>52</v>
      </c>
      <c r="C20" s="3">
        <v>95</v>
      </c>
      <c r="D20" s="4">
        <v>18.028</v>
      </c>
      <c r="E20" s="4">
        <v>7.336</v>
      </c>
      <c r="F20" s="3"/>
      <c r="G20" s="5"/>
      <c r="H20" s="3"/>
      <c r="I20" s="5"/>
      <c r="J20" s="3"/>
      <c r="K20" s="5"/>
      <c r="L20" s="3"/>
      <c r="M20" s="5"/>
      <c r="N20" s="3"/>
      <c r="O20" s="5"/>
      <c r="P20" s="3"/>
      <c r="Q20" s="5"/>
      <c r="R20" s="3"/>
      <c r="S20" s="5"/>
      <c r="T20" s="5"/>
      <c r="U20" s="5">
        <v>0</v>
      </c>
      <c r="V20" s="5"/>
      <c r="W20" s="5" t="str">
        <f>G20+I20+K20+M20+O20+Q20+S20+T20+U20+Y20</f>
        <v>0</v>
      </c>
      <c r="X20" s="5">
        <v>33628345.385</v>
      </c>
      <c r="Y20" s="5" t="str">
        <f>W20+X20</f>
        <v>0</v>
      </c>
      <c r="Z20" s="5">
        <v>0</v>
      </c>
      <c r="AA20" s="5" t="str">
        <f>Z20*D20</f>
        <v>0</v>
      </c>
      <c r="AB20" s="5">
        <v>0</v>
      </c>
      <c r="AC20" s="5" t="str">
        <f>AA20*AB20</f>
        <v>0</v>
      </c>
      <c r="AD20" s="5" t="str">
        <f>AC20-Y20</f>
        <v>0</v>
      </c>
      <c r="AE20" s="3" t="s">
        <v>35</v>
      </c>
      <c r="AF20" s="2"/>
    </row>
    <row r="21" spans="1:32">
      <c r="A21" s="3" t="s">
        <v>49</v>
      </c>
      <c r="B21" s="3" t="s">
        <v>53</v>
      </c>
      <c r="C21" s="3">
        <v>56</v>
      </c>
      <c r="D21" s="4">
        <v>14.071</v>
      </c>
      <c r="E21" s="4">
        <v>9.72</v>
      </c>
      <c r="F21" s="3"/>
      <c r="G21" s="5"/>
      <c r="H21" s="3"/>
      <c r="I21" s="5"/>
      <c r="J21" s="3"/>
      <c r="K21" s="5"/>
      <c r="L21" s="3"/>
      <c r="M21" s="5"/>
      <c r="N21" s="3"/>
      <c r="O21" s="5"/>
      <c r="P21" s="3"/>
      <c r="Q21" s="5"/>
      <c r="R21" s="3"/>
      <c r="S21" s="5"/>
      <c r="T21" s="5"/>
      <c r="U21" s="5">
        <v>0</v>
      </c>
      <c r="V21" s="5"/>
      <c r="W21" s="5" t="str">
        <f>G21+I21+K21+M21+O21+Q21+S21+T21+U21+Y21</f>
        <v>0</v>
      </c>
      <c r="X21" s="5">
        <v>16326882.208</v>
      </c>
      <c r="Y21" s="5" t="str">
        <f>W21+X21</f>
        <v>0</v>
      </c>
      <c r="Z21" s="5">
        <v>0</v>
      </c>
      <c r="AA21" s="5" t="str">
        <f>Z21*D21</f>
        <v>0</v>
      </c>
      <c r="AB21" s="5">
        <v>0</v>
      </c>
      <c r="AC21" s="5" t="str">
        <f>AA21*AB21</f>
        <v>0</v>
      </c>
      <c r="AD21" s="5" t="str">
        <f>AC21-Y21</f>
        <v>0</v>
      </c>
      <c r="AE21" s="3" t="s">
        <v>35</v>
      </c>
      <c r="AF21" s="2"/>
    </row>
    <row r="22" spans="1:32">
      <c r="A22" s="3" t="s">
        <v>49</v>
      </c>
      <c r="B22" s="3" t="s">
        <v>54</v>
      </c>
      <c r="C22" s="3">
        <v>62</v>
      </c>
      <c r="D22" s="4">
        <v>17.005</v>
      </c>
      <c r="E22" s="4">
        <v>10.597</v>
      </c>
      <c r="F22" s="3"/>
      <c r="G22" s="5"/>
      <c r="H22" s="3"/>
      <c r="I22" s="5"/>
      <c r="J22" s="3"/>
      <c r="K22" s="5"/>
      <c r="L22" s="3"/>
      <c r="M22" s="5"/>
      <c r="N22" s="3"/>
      <c r="O22" s="5"/>
      <c r="P22" s="3"/>
      <c r="Q22" s="5"/>
      <c r="R22" s="3"/>
      <c r="S22" s="5"/>
      <c r="T22" s="5"/>
      <c r="U22" s="5">
        <v>0</v>
      </c>
      <c r="V22" s="5"/>
      <c r="W22" s="5" t="str">
        <f>G22+I22+K22+M22+O22+Q22+S22+T22+U22+Y22</f>
        <v>0</v>
      </c>
      <c r="X22" s="5">
        <v>18076191.016</v>
      </c>
      <c r="Y22" s="5" t="str">
        <f>W22+X22</f>
        <v>0</v>
      </c>
      <c r="Z22" s="5">
        <v>0</v>
      </c>
      <c r="AA22" s="5" t="str">
        <f>Z22*D22</f>
        <v>0</v>
      </c>
      <c r="AB22" s="5">
        <v>0</v>
      </c>
      <c r="AC22" s="5" t="str">
        <f>AA22*AB22</f>
        <v>0</v>
      </c>
      <c r="AD22" s="5" t="str">
        <f>AC22-Y22</f>
        <v>0</v>
      </c>
      <c r="AE22" s="3" t="s">
        <v>35</v>
      </c>
      <c r="AF22" s="2"/>
    </row>
    <row r="23" spans="1:32">
      <c r="A23" s="3" t="s">
        <v>49</v>
      </c>
      <c r="B23" s="3" t="s">
        <v>55</v>
      </c>
      <c r="C23" s="3">
        <v>56</v>
      </c>
      <c r="D23" s="4">
        <v>2.838</v>
      </c>
      <c r="E23" s="4">
        <v>2.028</v>
      </c>
      <c r="F23" s="3"/>
      <c r="G23" s="5"/>
      <c r="H23" s="3"/>
      <c r="I23" s="5"/>
      <c r="J23" s="3"/>
      <c r="K23" s="5"/>
      <c r="L23" s="3"/>
      <c r="M23" s="5"/>
      <c r="N23" s="3"/>
      <c r="O23" s="5"/>
      <c r="P23" s="3"/>
      <c r="Q23" s="5"/>
      <c r="R23" s="3"/>
      <c r="S23" s="5"/>
      <c r="T23" s="5"/>
      <c r="U23" s="5">
        <v>0</v>
      </c>
      <c r="V23" s="5"/>
      <c r="W23" s="5" t="str">
        <f>G23+I23+K23+M23+O23+Q23+S23+T23+U23+Y23</f>
        <v>0</v>
      </c>
      <c r="X23" s="5">
        <v>2316208.664</v>
      </c>
      <c r="Y23" s="5" t="str">
        <f>W23+X23</f>
        <v>0</v>
      </c>
      <c r="Z23" s="5">
        <v>0</v>
      </c>
      <c r="AA23" s="5" t="str">
        <f>Z23*D23</f>
        <v>0</v>
      </c>
      <c r="AB23" s="5">
        <v>0</v>
      </c>
      <c r="AC23" s="5" t="str">
        <f>AA23*AB23</f>
        <v>0</v>
      </c>
      <c r="AD23" s="5" t="str">
        <f>AC23-Y23</f>
        <v>0</v>
      </c>
      <c r="AE23" s="3" t="s">
        <v>35</v>
      </c>
      <c r="AF23" s="2"/>
    </row>
    <row r="24" spans="1:32">
      <c r="A24" s="3" t="s">
        <v>49</v>
      </c>
      <c r="B24" s="3" t="s">
        <v>56</v>
      </c>
      <c r="C24" s="3">
        <v>74</v>
      </c>
      <c r="D24" s="4">
        <v>18.481</v>
      </c>
      <c r="E24" s="4">
        <v>9.588</v>
      </c>
      <c r="F24" s="3"/>
      <c r="G24" s="5"/>
      <c r="H24" s="3"/>
      <c r="I24" s="5"/>
      <c r="J24" s="3"/>
      <c r="K24" s="5"/>
      <c r="L24" s="3"/>
      <c r="M24" s="5"/>
      <c r="N24" s="3"/>
      <c r="O24" s="5"/>
      <c r="P24" s="3"/>
      <c r="Q24" s="5"/>
      <c r="R24" s="3"/>
      <c r="S24" s="5"/>
      <c r="T24" s="5"/>
      <c r="U24" s="5">
        <v>0</v>
      </c>
      <c r="V24" s="5"/>
      <c r="W24" s="5" t="str">
        <f>G24+I24+K24+M24+O24+Q24+S24+T24+U24+Y24</f>
        <v>0</v>
      </c>
      <c r="X24" s="5">
        <v>26194711.142</v>
      </c>
      <c r="Y24" s="5" t="str">
        <f>W24+X24</f>
        <v>0</v>
      </c>
      <c r="Z24" s="5">
        <v>0</v>
      </c>
      <c r="AA24" s="5" t="str">
        <f>Z24*D24</f>
        <v>0</v>
      </c>
      <c r="AB24" s="5">
        <v>0</v>
      </c>
      <c r="AC24" s="5" t="str">
        <f>AA24*AB24</f>
        <v>0</v>
      </c>
      <c r="AD24" s="5" t="str">
        <f>AC24-Y24</f>
        <v>0</v>
      </c>
      <c r="AE24" s="3" t="s">
        <v>35</v>
      </c>
      <c r="AF24" s="2"/>
    </row>
    <row r="25" spans="1:32">
      <c r="A25" s="3" t="s">
        <v>57</v>
      </c>
      <c r="B25" s="3" t="s">
        <v>58</v>
      </c>
      <c r="C25" s="3">
        <v>326</v>
      </c>
      <c r="D25" s="4">
        <v>17.564</v>
      </c>
      <c r="E25" s="4">
        <v>2.146</v>
      </c>
      <c r="F25" s="3"/>
      <c r="G25" s="5"/>
      <c r="H25" s="3"/>
      <c r="I25" s="5"/>
      <c r="J25" s="3"/>
      <c r="K25" s="5"/>
      <c r="L25" s="3"/>
      <c r="M25" s="5"/>
      <c r="N25" s="3"/>
      <c r="O25" s="5"/>
      <c r="P25" s="3"/>
      <c r="Q25" s="5"/>
      <c r="R25" s="3"/>
      <c r="S25" s="5"/>
      <c r="T25" s="5"/>
      <c r="U25" s="5">
        <v>0</v>
      </c>
      <c r="V25" s="5"/>
      <c r="W25" s="5" t="str">
        <f>G25+I25+K25+M25+O25+Q25+S25+T25+U25+Y25</f>
        <v>0</v>
      </c>
      <c r="X25" s="5">
        <v>22851101.704</v>
      </c>
      <c r="Y25" s="5" t="str">
        <f>W25+X25</f>
        <v>0</v>
      </c>
      <c r="Z25" s="5">
        <v>0</v>
      </c>
      <c r="AA25" s="5" t="str">
        <f>Z25*D25</f>
        <v>0</v>
      </c>
      <c r="AB25" s="5">
        <v>0</v>
      </c>
      <c r="AC25" s="5" t="str">
        <f>AA25*AB25</f>
        <v>0</v>
      </c>
      <c r="AD25" s="5" t="str">
        <f>AC25-Y25</f>
        <v>0</v>
      </c>
      <c r="AE25" s="3" t="s">
        <v>35</v>
      </c>
      <c r="AF25" s="2"/>
    </row>
    <row r="26" spans="1:32">
      <c r="A26" s="3" t="s">
        <v>57</v>
      </c>
      <c r="B26" s="3" t="s">
        <v>59</v>
      </c>
      <c r="C26" s="3">
        <v>59</v>
      </c>
      <c r="D26" s="4">
        <v>18.133</v>
      </c>
      <c r="E26" s="4">
        <v>11.834</v>
      </c>
      <c r="F26" s="3"/>
      <c r="G26" s="5"/>
      <c r="H26" s="3"/>
      <c r="I26" s="5"/>
      <c r="J26" s="3"/>
      <c r="K26" s="5"/>
      <c r="L26" s="3"/>
      <c r="M26" s="5"/>
      <c r="N26" s="3"/>
      <c r="O26" s="5"/>
      <c r="P26" s="3"/>
      <c r="Q26" s="5"/>
      <c r="R26" s="3"/>
      <c r="S26" s="5"/>
      <c r="T26" s="5"/>
      <c r="U26" s="5">
        <v>0</v>
      </c>
      <c r="V26" s="5"/>
      <c r="W26" s="5" t="str">
        <f>G26+I26+K26+M26+O26+Q26+S26+T26+U26+Y26</f>
        <v>0</v>
      </c>
      <c r="X26" s="5">
        <v>21845556.53</v>
      </c>
      <c r="Y26" s="5" t="str">
        <f>W26+X26</f>
        <v>0</v>
      </c>
      <c r="Z26" s="5">
        <v>0</v>
      </c>
      <c r="AA26" s="5" t="str">
        <f>Z26*D26</f>
        <v>0</v>
      </c>
      <c r="AB26" s="5">
        <v>0</v>
      </c>
      <c r="AC26" s="5" t="str">
        <f>AA26*AB26</f>
        <v>0</v>
      </c>
      <c r="AD26" s="5" t="str">
        <f>AC26-Y26</f>
        <v>0</v>
      </c>
      <c r="AE26" s="3" t="s">
        <v>35</v>
      </c>
      <c r="AF26" s="2"/>
    </row>
    <row r="27" spans="1:32">
      <c r="A27" s="3" t="s">
        <v>57</v>
      </c>
      <c r="B27" s="3" t="s">
        <v>60</v>
      </c>
      <c r="C27" s="3">
        <v>79</v>
      </c>
      <c r="D27" s="4">
        <v>18.309</v>
      </c>
      <c r="E27" s="4">
        <v>8.899</v>
      </c>
      <c r="F27" s="3"/>
      <c r="G27" s="5"/>
      <c r="H27" s="3"/>
      <c r="I27" s="5"/>
      <c r="J27" s="3"/>
      <c r="K27" s="5"/>
      <c r="L27" s="3"/>
      <c r="M27" s="5"/>
      <c r="N27" s="3"/>
      <c r="O27" s="5"/>
      <c r="P27" s="3"/>
      <c r="Q27" s="5"/>
      <c r="R27" s="3"/>
      <c r="S27" s="5"/>
      <c r="T27" s="5"/>
      <c r="U27" s="5">
        <v>0</v>
      </c>
      <c r="V27" s="5"/>
      <c r="W27" s="5" t="str">
        <f>G27+I27+K27+M27+O27+Q27+S27+T27+U27+Y27</f>
        <v>0</v>
      </c>
      <c r="X27" s="5">
        <v>20864357.726</v>
      </c>
      <c r="Y27" s="5" t="str">
        <f>W27+X27</f>
        <v>0</v>
      </c>
      <c r="Z27" s="5">
        <v>0</v>
      </c>
      <c r="AA27" s="5" t="str">
        <f>Z27*D27</f>
        <v>0</v>
      </c>
      <c r="AB27" s="5">
        <v>0</v>
      </c>
      <c r="AC27" s="5" t="str">
        <f>AA27*AB27</f>
        <v>0</v>
      </c>
      <c r="AD27" s="5" t="str">
        <f>AC27-Y27</f>
        <v>0</v>
      </c>
      <c r="AE27" s="3" t="s">
        <v>35</v>
      </c>
      <c r="AF27" s="2"/>
    </row>
    <row r="28" spans="1:32">
      <c r="A28" s="3" t="s">
        <v>57</v>
      </c>
      <c r="B28" s="3" t="s">
        <v>61</v>
      </c>
      <c r="C28" s="3">
        <v>64</v>
      </c>
      <c r="D28" s="4">
        <v>17.915</v>
      </c>
      <c r="E28" s="4">
        <v>10.784</v>
      </c>
      <c r="F28" s="3"/>
      <c r="G28" s="5"/>
      <c r="H28" s="3"/>
      <c r="I28" s="5"/>
      <c r="J28" s="3"/>
      <c r="K28" s="5"/>
      <c r="L28" s="3"/>
      <c r="M28" s="5"/>
      <c r="N28" s="3"/>
      <c r="O28" s="5"/>
      <c r="P28" s="3"/>
      <c r="Q28" s="5"/>
      <c r="R28" s="3"/>
      <c r="S28" s="5"/>
      <c r="T28" s="5"/>
      <c r="U28" s="5">
        <v>0</v>
      </c>
      <c r="V28" s="5"/>
      <c r="W28" s="5" t="str">
        <f>G28+I28+K28+M28+O28+Q28+S28+T28+U28+Y28</f>
        <v>0</v>
      </c>
      <c r="X28" s="5">
        <v>23696874.88</v>
      </c>
      <c r="Y28" s="5" t="str">
        <f>W28+X28</f>
        <v>0</v>
      </c>
      <c r="Z28" s="5">
        <v>0</v>
      </c>
      <c r="AA28" s="5" t="str">
        <f>Z28*D28</f>
        <v>0</v>
      </c>
      <c r="AB28" s="5">
        <v>0</v>
      </c>
      <c r="AC28" s="5" t="str">
        <f>AA28*AB28</f>
        <v>0</v>
      </c>
      <c r="AD28" s="5" t="str">
        <f>AC28-Y28</f>
        <v>0</v>
      </c>
      <c r="AE28" s="3" t="s">
        <v>35</v>
      </c>
      <c r="AF28" s="2"/>
    </row>
    <row r="29" spans="1:32">
      <c r="A29" s="3" t="s">
        <v>57</v>
      </c>
      <c r="B29" s="3" t="s">
        <v>62</v>
      </c>
      <c r="C29" s="3">
        <v>340</v>
      </c>
      <c r="D29" s="4">
        <v>17.697</v>
      </c>
      <c r="E29" s="4">
        <v>2.078</v>
      </c>
      <c r="F29" s="3"/>
      <c r="G29" s="5"/>
      <c r="H29" s="3"/>
      <c r="I29" s="5"/>
      <c r="J29" s="3"/>
      <c r="K29" s="5"/>
      <c r="L29" s="3"/>
      <c r="M29" s="5"/>
      <c r="N29" s="3"/>
      <c r="O29" s="5"/>
      <c r="P29" s="3"/>
      <c r="Q29" s="5"/>
      <c r="R29" s="3"/>
      <c r="S29" s="5"/>
      <c r="T29" s="5"/>
      <c r="U29" s="5">
        <v>0</v>
      </c>
      <c r="V29" s="5"/>
      <c r="W29" s="5" t="str">
        <f>G29+I29+K29+M29+O29+Q29+S29+T29+U29+Y29</f>
        <v>0</v>
      </c>
      <c r="X29" s="5">
        <v>23832437.36</v>
      </c>
      <c r="Y29" s="5" t="str">
        <f>W29+X29</f>
        <v>0</v>
      </c>
      <c r="Z29" s="5">
        <v>0</v>
      </c>
      <c r="AA29" s="5" t="str">
        <f>Z29*D29</f>
        <v>0</v>
      </c>
      <c r="AB29" s="5">
        <v>0</v>
      </c>
      <c r="AC29" s="5" t="str">
        <f>AA29*AB29</f>
        <v>0</v>
      </c>
      <c r="AD29" s="5" t="str">
        <f>AC29-Y29</f>
        <v>0</v>
      </c>
      <c r="AE29" s="3" t="s">
        <v>35</v>
      </c>
      <c r="AF29" s="2"/>
    </row>
    <row r="30" spans="1:32">
      <c r="A30" s="3" t="s">
        <v>57</v>
      </c>
      <c r="B30" s="3" t="s">
        <v>63</v>
      </c>
      <c r="C30" s="3">
        <v>57</v>
      </c>
      <c r="D30" s="4">
        <v>17.365</v>
      </c>
      <c r="E30" s="4">
        <v>11.732</v>
      </c>
      <c r="F30" s="3"/>
      <c r="G30" s="5"/>
      <c r="H30" s="3"/>
      <c r="I30" s="5"/>
      <c r="J30" s="3"/>
      <c r="K30" s="5"/>
      <c r="L30" s="3"/>
      <c r="M30" s="5"/>
      <c r="N30" s="3"/>
      <c r="O30" s="5"/>
      <c r="P30" s="3"/>
      <c r="Q30" s="5"/>
      <c r="R30" s="3"/>
      <c r="S30" s="5"/>
      <c r="T30" s="5"/>
      <c r="U30" s="5">
        <v>0</v>
      </c>
      <c r="V30" s="5"/>
      <c r="W30" s="5" t="str">
        <f>G30+I30+K30+M30+O30+Q30+S30+T30+U30+Y30</f>
        <v>0</v>
      </c>
      <c r="X30" s="5">
        <v>21105029.19</v>
      </c>
      <c r="Y30" s="5" t="str">
        <f>W30+X30</f>
        <v>0</v>
      </c>
      <c r="Z30" s="5">
        <v>0</v>
      </c>
      <c r="AA30" s="5" t="str">
        <f>Z30*D30</f>
        <v>0</v>
      </c>
      <c r="AB30" s="5">
        <v>0</v>
      </c>
      <c r="AC30" s="5" t="str">
        <f>AA30*AB30</f>
        <v>0</v>
      </c>
      <c r="AD30" s="5" t="str">
        <f>AC30-Y30</f>
        <v>0</v>
      </c>
      <c r="AE30" s="3" t="s">
        <v>35</v>
      </c>
      <c r="AF30" s="2"/>
    </row>
    <row r="31" spans="1:32">
      <c r="A31" s="3" t="s">
        <v>57</v>
      </c>
      <c r="B31" s="3" t="s">
        <v>64</v>
      </c>
      <c r="C31" s="3">
        <v>322</v>
      </c>
      <c r="D31" s="4">
        <v>17.788</v>
      </c>
      <c r="E31" s="4">
        <v>2.197</v>
      </c>
      <c r="F31" s="3"/>
      <c r="G31" s="5"/>
      <c r="H31" s="3"/>
      <c r="I31" s="5"/>
      <c r="J31" s="3"/>
      <c r="K31" s="5"/>
      <c r="L31" s="3"/>
      <c r="M31" s="5"/>
      <c r="N31" s="3"/>
      <c r="O31" s="5"/>
      <c r="P31" s="3"/>
      <c r="Q31" s="5"/>
      <c r="R31" s="3"/>
      <c r="S31" s="5"/>
      <c r="T31" s="5"/>
      <c r="U31" s="5">
        <v>0</v>
      </c>
      <c r="V31" s="5"/>
      <c r="W31" s="5" t="str">
        <f>G31+I31+K31+M31+O31+Q31+S31+T31+U31+Y31</f>
        <v>0</v>
      </c>
      <c r="X31" s="5">
        <v>22570720.088</v>
      </c>
      <c r="Y31" s="5" t="str">
        <f>W31+X31</f>
        <v>0</v>
      </c>
      <c r="Z31" s="5">
        <v>0</v>
      </c>
      <c r="AA31" s="5" t="str">
        <f>Z31*D31</f>
        <v>0</v>
      </c>
      <c r="AB31" s="5">
        <v>0</v>
      </c>
      <c r="AC31" s="5" t="str">
        <f>AA31*AB31</f>
        <v>0</v>
      </c>
      <c r="AD31" s="5" t="str">
        <f>AC31-Y31</f>
        <v>0</v>
      </c>
      <c r="AE31" s="3" t="s">
        <v>35</v>
      </c>
      <c r="AF31" s="2"/>
    </row>
    <row r="32" spans="1:32">
      <c r="A32" s="3" t="s">
        <v>57</v>
      </c>
      <c r="B32" s="3" t="s">
        <v>65</v>
      </c>
      <c r="C32" s="3">
        <v>103</v>
      </c>
      <c r="D32" s="4">
        <v>18.052</v>
      </c>
      <c r="E32" s="4">
        <v>6.796</v>
      </c>
      <c r="F32" s="3"/>
      <c r="G32" s="5"/>
      <c r="H32" s="3"/>
      <c r="I32" s="5"/>
      <c r="J32" s="3"/>
      <c r="K32" s="5"/>
      <c r="L32" s="3"/>
      <c r="M32" s="5"/>
      <c r="N32" s="3"/>
      <c r="O32" s="5"/>
      <c r="P32" s="3"/>
      <c r="Q32" s="5"/>
      <c r="R32" s="3"/>
      <c r="S32" s="5"/>
      <c r="T32" s="5"/>
      <c r="U32" s="5">
        <v>0</v>
      </c>
      <c r="V32" s="5"/>
      <c r="W32" s="5" t="str">
        <f>G32+I32+K32+M32+O32+Q32+S32+T32+U32+Y32</f>
        <v>0</v>
      </c>
      <c r="X32" s="5">
        <v>27202896.782</v>
      </c>
      <c r="Y32" s="5" t="str">
        <f>W32+X32</f>
        <v>0</v>
      </c>
      <c r="Z32" s="5">
        <v>0</v>
      </c>
      <c r="AA32" s="5" t="str">
        <f>Z32*D32</f>
        <v>0</v>
      </c>
      <c r="AB32" s="5">
        <v>0</v>
      </c>
      <c r="AC32" s="5" t="str">
        <f>AA32*AB32</f>
        <v>0</v>
      </c>
      <c r="AD32" s="5" t="str">
        <f>AC32-Y32</f>
        <v>0</v>
      </c>
      <c r="AE32" s="3" t="s">
        <v>35</v>
      </c>
      <c r="AF32" s="2"/>
    </row>
    <row r="33" spans="1:32">
      <c r="A33" s="3" t="s">
        <v>57</v>
      </c>
      <c r="B33" s="3" t="s">
        <v>66</v>
      </c>
      <c r="C33" s="3">
        <v>63</v>
      </c>
      <c r="D33" s="4">
        <v>18.427</v>
      </c>
      <c r="E33" s="4">
        <v>11.297</v>
      </c>
      <c r="F33" s="3"/>
      <c r="G33" s="5"/>
      <c r="H33" s="3"/>
      <c r="I33" s="5"/>
      <c r="J33" s="3"/>
      <c r="K33" s="5"/>
      <c r="L33" s="3"/>
      <c r="M33" s="5"/>
      <c r="N33" s="3"/>
      <c r="O33" s="5"/>
      <c r="P33" s="3"/>
      <c r="Q33" s="5"/>
      <c r="R33" s="3"/>
      <c r="S33" s="5"/>
      <c r="T33" s="5"/>
      <c r="U33" s="5">
        <v>0</v>
      </c>
      <c r="V33" s="5"/>
      <c r="W33" s="5" t="str">
        <f>G33+I33+K33+M33+O33+Q33+S33+T33+U33+Y33</f>
        <v>0</v>
      </c>
      <c r="X33" s="5">
        <v>23326611.21</v>
      </c>
      <c r="Y33" s="5" t="str">
        <f>W33+X33</f>
        <v>0</v>
      </c>
      <c r="Z33" s="5">
        <v>0</v>
      </c>
      <c r="AA33" s="5" t="str">
        <f>Z33*D33</f>
        <v>0</v>
      </c>
      <c r="AB33" s="5">
        <v>0</v>
      </c>
      <c r="AC33" s="5" t="str">
        <f>AA33*AB33</f>
        <v>0</v>
      </c>
      <c r="AD33" s="5" t="str">
        <f>AC33-Y33</f>
        <v>0</v>
      </c>
      <c r="AE33" s="3" t="s">
        <v>35</v>
      </c>
      <c r="AF33" s="2"/>
    </row>
    <row r="34" spans="1:32">
      <c r="A34" s="3" t="s">
        <v>57</v>
      </c>
      <c r="B34" s="3" t="s">
        <v>67</v>
      </c>
      <c r="C34" s="3">
        <v>61</v>
      </c>
      <c r="D34" s="4">
        <v>18.341</v>
      </c>
      <c r="E34" s="4">
        <v>11.581</v>
      </c>
      <c r="F34" s="3"/>
      <c r="G34" s="5"/>
      <c r="H34" s="3"/>
      <c r="I34" s="5"/>
      <c r="J34" s="3"/>
      <c r="K34" s="5"/>
      <c r="L34" s="3"/>
      <c r="M34" s="5"/>
      <c r="N34" s="3"/>
      <c r="O34" s="5"/>
      <c r="P34" s="3"/>
      <c r="Q34" s="5"/>
      <c r="R34" s="3"/>
      <c r="S34" s="5"/>
      <c r="T34" s="5"/>
      <c r="U34" s="5">
        <v>0</v>
      </c>
      <c r="V34" s="5"/>
      <c r="W34" s="5" t="str">
        <f>G34+I34+K34+M34+O34+Q34+S34+T34+U34+Y34</f>
        <v>0</v>
      </c>
      <c r="X34" s="5">
        <v>22586083.87</v>
      </c>
      <c r="Y34" s="5" t="str">
        <f>W34+X34</f>
        <v>0</v>
      </c>
      <c r="Z34" s="5">
        <v>0</v>
      </c>
      <c r="AA34" s="5" t="str">
        <f>Z34*D34</f>
        <v>0</v>
      </c>
      <c r="AB34" s="5">
        <v>0</v>
      </c>
      <c r="AC34" s="5" t="str">
        <f>AA34*AB34</f>
        <v>0</v>
      </c>
      <c r="AD34" s="5" t="str">
        <f>AC34-Y34</f>
        <v>0</v>
      </c>
      <c r="AE34" s="3" t="s">
        <v>35</v>
      </c>
      <c r="AF34" s="2"/>
    </row>
    <row r="35" spans="1:32">
      <c r="A35" s="3" t="s">
        <v>68</v>
      </c>
      <c r="B35" s="3" t="s">
        <v>69</v>
      </c>
      <c r="C35" s="3">
        <v>95</v>
      </c>
      <c r="D35" s="4">
        <v>18.181</v>
      </c>
      <c r="E35" s="4">
        <v>7.395</v>
      </c>
      <c r="F35" s="3"/>
      <c r="G35" s="5"/>
      <c r="H35" s="3"/>
      <c r="I35" s="5"/>
      <c r="J35" s="3"/>
      <c r="K35" s="5"/>
      <c r="L35" s="3"/>
      <c r="M35" s="5"/>
      <c r="N35" s="3"/>
      <c r="O35" s="5"/>
      <c r="P35" s="3"/>
      <c r="Q35" s="5"/>
      <c r="R35" s="3"/>
      <c r="S35" s="5"/>
      <c r="T35" s="5"/>
      <c r="U35" s="5">
        <v>0</v>
      </c>
      <c r="V35" s="5"/>
      <c r="W35" s="5" t="str">
        <f>G35+I35+K35+M35+O35+Q35+S35+T35+U35+Y35</f>
        <v>0</v>
      </c>
      <c r="X35" s="5">
        <v>21822336.57</v>
      </c>
      <c r="Y35" s="5" t="str">
        <f>W35+X35</f>
        <v>0</v>
      </c>
      <c r="Z35" s="5">
        <v>0</v>
      </c>
      <c r="AA35" s="5" t="str">
        <f>Z35*D35</f>
        <v>0</v>
      </c>
      <c r="AB35" s="5">
        <v>0</v>
      </c>
      <c r="AC35" s="5" t="str">
        <f>AA35*AB35</f>
        <v>0</v>
      </c>
      <c r="AD35" s="5" t="str">
        <f>AC35-Y35</f>
        <v>0</v>
      </c>
      <c r="AE35" s="3" t="s">
        <v>35</v>
      </c>
      <c r="AF35" s="2"/>
    </row>
    <row r="36" spans="1:32">
      <c r="A36" s="3" t="s">
        <v>68</v>
      </c>
      <c r="B36" s="3" t="s">
        <v>70</v>
      </c>
      <c r="C36" s="3">
        <v>330</v>
      </c>
      <c r="D36" s="4">
        <v>17.936</v>
      </c>
      <c r="E36" s="4">
        <v>2.165</v>
      </c>
      <c r="F36" s="3"/>
      <c r="G36" s="5"/>
      <c r="H36" s="3"/>
      <c r="I36" s="5"/>
      <c r="J36" s="3"/>
      <c r="K36" s="5"/>
      <c r="L36" s="3"/>
      <c r="M36" s="5"/>
      <c r="N36" s="3"/>
      <c r="O36" s="5"/>
      <c r="P36" s="3"/>
      <c r="Q36" s="5"/>
      <c r="R36" s="3"/>
      <c r="S36" s="5"/>
      <c r="T36" s="5"/>
      <c r="U36" s="5">
        <v>0</v>
      </c>
      <c r="V36" s="5"/>
      <c r="W36" s="5" t="str">
        <f>G36+I36+K36+M36+O36+Q36+S36+T36+U36+Y36</f>
        <v>0</v>
      </c>
      <c r="X36" s="5">
        <v>35298082.71</v>
      </c>
      <c r="Y36" s="5" t="str">
        <f>W36+X36</f>
        <v>0</v>
      </c>
      <c r="Z36" s="5">
        <v>0</v>
      </c>
      <c r="AA36" s="5" t="str">
        <f>Z36*D36</f>
        <v>0</v>
      </c>
      <c r="AB36" s="5">
        <v>0</v>
      </c>
      <c r="AC36" s="5" t="str">
        <f>AA36*AB36</f>
        <v>0</v>
      </c>
      <c r="AD36" s="5" t="str">
        <f>AC36-Y36</f>
        <v>0</v>
      </c>
      <c r="AE36" s="3" t="s">
        <v>35</v>
      </c>
      <c r="AF36" s="2"/>
    </row>
    <row r="37" spans="1:32">
      <c r="A37" s="3" t="s">
        <v>68</v>
      </c>
      <c r="B37" s="3" t="s">
        <v>71</v>
      </c>
      <c r="C37" s="3">
        <v>57</v>
      </c>
      <c r="D37" s="4">
        <v>18.002</v>
      </c>
      <c r="E37" s="4">
        <v>12.173</v>
      </c>
      <c r="F37" s="3"/>
      <c r="G37" s="5"/>
      <c r="H37" s="3"/>
      <c r="I37" s="5"/>
      <c r="J37" s="3"/>
      <c r="K37" s="5"/>
      <c r="L37" s="3"/>
      <c r="M37" s="5"/>
      <c r="N37" s="3"/>
      <c r="O37" s="5"/>
      <c r="P37" s="3"/>
      <c r="Q37" s="5"/>
      <c r="R37" s="3"/>
      <c r="S37" s="5"/>
      <c r="T37" s="5"/>
      <c r="U37" s="5">
        <v>0</v>
      </c>
      <c r="V37" s="5"/>
      <c r="W37" s="5" t="str">
        <f>G37+I37+K37+M37+O37+Q37+S37+T37+U37+Y37</f>
        <v>0</v>
      </c>
      <c r="X37" s="5">
        <v>19743082.59</v>
      </c>
      <c r="Y37" s="5" t="str">
        <f>W37+X37</f>
        <v>0</v>
      </c>
      <c r="Z37" s="5">
        <v>0</v>
      </c>
      <c r="AA37" s="5" t="str">
        <f>Z37*D37</f>
        <v>0</v>
      </c>
      <c r="AB37" s="5">
        <v>0</v>
      </c>
      <c r="AC37" s="5" t="str">
        <f>AA37*AB37</f>
        <v>0</v>
      </c>
      <c r="AD37" s="5" t="str">
        <f>AC37-Y37</f>
        <v>0</v>
      </c>
      <c r="AE37" s="3" t="s">
        <v>35</v>
      </c>
      <c r="AF37" s="2"/>
    </row>
    <row r="38" spans="1:32">
      <c r="A38" s="3" t="s">
        <v>68</v>
      </c>
      <c r="B38" s="3" t="s">
        <v>72</v>
      </c>
      <c r="C38" s="3">
        <v>64</v>
      </c>
      <c r="D38" s="4">
        <v>17.924</v>
      </c>
      <c r="E38" s="4">
        <v>10.834</v>
      </c>
      <c r="F38" s="3"/>
      <c r="G38" s="5"/>
      <c r="H38" s="3"/>
      <c r="I38" s="5"/>
      <c r="J38" s="3"/>
      <c r="K38" s="5"/>
      <c r="L38" s="3"/>
      <c r="M38" s="5"/>
      <c r="N38" s="3"/>
      <c r="O38" s="5"/>
      <c r="P38" s="3"/>
      <c r="Q38" s="5"/>
      <c r="R38" s="3"/>
      <c r="S38" s="5"/>
      <c r="T38" s="5"/>
      <c r="U38" s="5">
        <v>0</v>
      </c>
      <c r="V38" s="5"/>
      <c r="W38" s="5" t="str">
        <f>G38+I38+K38+M38+O38+Q38+S38+T38+U38+Y38</f>
        <v>0</v>
      </c>
      <c r="X38" s="5">
        <v>22167671.68</v>
      </c>
      <c r="Y38" s="5" t="str">
        <f>W38+X38</f>
        <v>0</v>
      </c>
      <c r="Z38" s="5">
        <v>0</v>
      </c>
      <c r="AA38" s="5" t="str">
        <f>Z38*D38</f>
        <v>0</v>
      </c>
      <c r="AB38" s="5">
        <v>0</v>
      </c>
      <c r="AC38" s="5" t="str">
        <f>AA38*AB38</f>
        <v>0</v>
      </c>
      <c r="AD38" s="5" t="str">
        <f>AC38-Y38</f>
        <v>0</v>
      </c>
      <c r="AE38" s="3" t="s">
        <v>35</v>
      </c>
      <c r="AF38" s="2"/>
    </row>
    <row r="39" spans="1:32">
      <c r="A39" s="3" t="s">
        <v>73</v>
      </c>
      <c r="B39" s="3" t="s">
        <v>74</v>
      </c>
      <c r="C39" s="3">
        <v>381</v>
      </c>
      <c r="D39" s="4">
        <v>17.417</v>
      </c>
      <c r="E39" s="4">
        <v>1.837</v>
      </c>
      <c r="F39" s="3"/>
      <c r="G39" s="5"/>
      <c r="H39" s="3"/>
      <c r="I39" s="5"/>
      <c r="J39" s="3"/>
      <c r="K39" s="5"/>
      <c r="L39" s="3"/>
      <c r="M39" s="5"/>
      <c r="N39" s="3"/>
      <c r="O39" s="5"/>
      <c r="P39" s="3"/>
      <c r="Q39" s="5"/>
      <c r="R39" s="3"/>
      <c r="S39" s="5"/>
      <c r="T39" s="5"/>
      <c r="U39" s="5">
        <v>0</v>
      </c>
      <c r="V39" s="5"/>
      <c r="W39" s="5" t="str">
        <f>G39+I39+K39+M39+O39+Q39+S39+T39+U39+Y39</f>
        <v>0</v>
      </c>
      <c r="X39" s="5">
        <v>31821891.906</v>
      </c>
      <c r="Y39" s="5" t="str">
        <f>W39+X39</f>
        <v>0</v>
      </c>
      <c r="Z39" s="5">
        <v>0</v>
      </c>
      <c r="AA39" s="5" t="str">
        <f>Z39*D39</f>
        <v>0</v>
      </c>
      <c r="AB39" s="5">
        <v>0</v>
      </c>
      <c r="AC39" s="5" t="str">
        <f>AA39*AB39</f>
        <v>0</v>
      </c>
      <c r="AD39" s="5" t="str">
        <f>AC39-Y39</f>
        <v>0</v>
      </c>
      <c r="AE39" s="3" t="s">
        <v>35</v>
      </c>
      <c r="AF39" s="2"/>
    </row>
    <row r="40" spans="1:32">
      <c r="A40" s="3" t="s">
        <v>73</v>
      </c>
      <c r="B40" s="3" t="s">
        <v>75</v>
      </c>
      <c r="C40" s="3">
        <v>104</v>
      </c>
      <c r="D40" s="4">
        <v>17.864</v>
      </c>
      <c r="E40" s="4">
        <v>6.67</v>
      </c>
      <c r="F40" s="3"/>
      <c r="G40" s="5"/>
      <c r="H40" s="3"/>
      <c r="I40" s="5"/>
      <c r="J40" s="3"/>
      <c r="K40" s="5"/>
      <c r="L40" s="3"/>
      <c r="M40" s="5"/>
      <c r="N40" s="3"/>
      <c r="O40" s="5"/>
      <c r="P40" s="3"/>
      <c r="Q40" s="5"/>
      <c r="R40" s="3"/>
      <c r="S40" s="5"/>
      <c r="T40" s="5"/>
      <c r="U40" s="5">
        <v>0</v>
      </c>
      <c r="V40" s="5"/>
      <c r="W40" s="5" t="str">
        <f>G40+I40+K40+M40+O40+Q40+S40+T40+U40+Y40</f>
        <v>0</v>
      </c>
      <c r="X40" s="5">
        <v>20882987.216</v>
      </c>
      <c r="Y40" s="5" t="str">
        <f>W40+X40</f>
        <v>0</v>
      </c>
      <c r="Z40" s="5">
        <v>0</v>
      </c>
      <c r="AA40" s="5" t="str">
        <f>Z40*D40</f>
        <v>0</v>
      </c>
      <c r="AB40" s="5">
        <v>0</v>
      </c>
      <c r="AC40" s="5" t="str">
        <f>AA40*AB40</f>
        <v>0</v>
      </c>
      <c r="AD40" s="5" t="str">
        <f>AC40-Y40</f>
        <v>0</v>
      </c>
      <c r="AE40" s="3" t="s">
        <v>35</v>
      </c>
      <c r="AF40" s="2"/>
    </row>
    <row r="41" spans="1:32">
      <c r="A41" s="3" t="s">
        <v>73</v>
      </c>
      <c r="B41" s="3" t="s">
        <v>76</v>
      </c>
      <c r="C41" s="3">
        <v>59</v>
      </c>
      <c r="D41" s="4">
        <v>18.147</v>
      </c>
      <c r="E41" s="4">
        <v>11.857</v>
      </c>
      <c r="F41" s="3"/>
      <c r="G41" s="5"/>
      <c r="H41" s="3"/>
      <c r="I41" s="5"/>
      <c r="J41" s="3"/>
      <c r="K41" s="5"/>
      <c r="L41" s="3"/>
      <c r="M41" s="5"/>
      <c r="N41" s="3"/>
      <c r="O41" s="5"/>
      <c r="P41" s="3"/>
      <c r="Q41" s="5"/>
      <c r="R41" s="3"/>
      <c r="S41" s="5"/>
      <c r="T41" s="5"/>
      <c r="U41" s="5">
        <v>0</v>
      </c>
      <c r="V41" s="5"/>
      <c r="W41" s="5" t="str">
        <f>G41+I41+K41+M41+O41+Q41+S41+T41+U41+Y41</f>
        <v>0</v>
      </c>
      <c r="X41" s="5">
        <v>21269918.015</v>
      </c>
      <c r="Y41" s="5" t="str">
        <f>W41+X41</f>
        <v>0</v>
      </c>
      <c r="Z41" s="5">
        <v>0</v>
      </c>
      <c r="AA41" s="5" t="str">
        <f>Z41*D41</f>
        <v>0</v>
      </c>
      <c r="AB41" s="5">
        <v>0</v>
      </c>
      <c r="AC41" s="5" t="str">
        <f>AA41*AB41</f>
        <v>0</v>
      </c>
      <c r="AD41" s="5" t="str">
        <f>AC41-Y41</f>
        <v>0</v>
      </c>
      <c r="AE41" s="3" t="s">
        <v>35</v>
      </c>
      <c r="AF41" s="2"/>
    </row>
    <row r="42" spans="1:32">
      <c r="A42" s="3" t="s">
        <v>73</v>
      </c>
      <c r="B42" s="3" t="s">
        <v>77</v>
      </c>
      <c r="C42" s="3">
        <v>53</v>
      </c>
      <c r="D42" s="4">
        <v>16</v>
      </c>
      <c r="E42" s="4">
        <v>11.632</v>
      </c>
      <c r="F42" s="3"/>
      <c r="G42" s="5"/>
      <c r="H42" s="3"/>
      <c r="I42" s="5"/>
      <c r="J42" s="3"/>
      <c r="K42" s="5"/>
      <c r="L42" s="3"/>
      <c r="M42" s="5"/>
      <c r="N42" s="3"/>
      <c r="O42" s="5"/>
      <c r="P42" s="3"/>
      <c r="Q42" s="5"/>
      <c r="R42" s="3"/>
      <c r="S42" s="5"/>
      <c r="T42" s="5"/>
      <c r="U42" s="5">
        <v>0</v>
      </c>
      <c r="V42" s="5"/>
      <c r="W42" s="5" t="str">
        <f>G42+I42+K42+M42+O42+Q42+S42+T42+U42+Y42</f>
        <v>0</v>
      </c>
      <c r="X42" s="5">
        <v>19106875.505</v>
      </c>
      <c r="Y42" s="5" t="str">
        <f>W42+X42</f>
        <v>0</v>
      </c>
      <c r="Z42" s="5">
        <v>0</v>
      </c>
      <c r="AA42" s="5" t="str">
        <f>Z42*D42</f>
        <v>0</v>
      </c>
      <c r="AB42" s="5">
        <v>0</v>
      </c>
      <c r="AC42" s="5" t="str">
        <f>AA42*AB42</f>
        <v>0</v>
      </c>
      <c r="AD42" s="5" t="str">
        <f>AC42-Y42</f>
        <v>0</v>
      </c>
      <c r="AE42" s="3" t="s">
        <v>35</v>
      </c>
      <c r="AF42" s="2"/>
    </row>
    <row r="43" spans="1:32">
      <c r="A43" s="3" t="s">
        <v>73</v>
      </c>
      <c r="B43" s="3" t="s">
        <v>78</v>
      </c>
      <c r="C43" s="3">
        <v>64</v>
      </c>
      <c r="D43" s="4">
        <v>17.996</v>
      </c>
      <c r="E43" s="4">
        <v>10.874</v>
      </c>
      <c r="F43" s="3"/>
      <c r="G43" s="5"/>
      <c r="H43" s="3"/>
      <c r="I43" s="5"/>
      <c r="J43" s="3"/>
      <c r="K43" s="5"/>
      <c r="L43" s="3"/>
      <c r="M43" s="5"/>
      <c r="N43" s="3"/>
      <c r="O43" s="5"/>
      <c r="P43" s="3"/>
      <c r="Q43" s="5"/>
      <c r="R43" s="3"/>
      <c r="S43" s="5"/>
      <c r="T43" s="5"/>
      <c r="U43" s="5">
        <v>0</v>
      </c>
      <c r="V43" s="5"/>
      <c r="W43" s="5" t="str">
        <f>G43+I43+K43+M43+O43+Q43+S43+T43+U43+Y43</f>
        <v>0</v>
      </c>
      <c r="X43" s="5">
        <v>23072453.44</v>
      </c>
      <c r="Y43" s="5" t="str">
        <f>W43+X43</f>
        <v>0</v>
      </c>
      <c r="Z43" s="5">
        <v>0</v>
      </c>
      <c r="AA43" s="5" t="str">
        <f>Z43*D43</f>
        <v>0</v>
      </c>
      <c r="AB43" s="5">
        <v>0</v>
      </c>
      <c r="AC43" s="5" t="str">
        <f>AA43*AB43</f>
        <v>0</v>
      </c>
      <c r="AD43" s="5" t="str">
        <f>AC43-Y43</f>
        <v>0</v>
      </c>
      <c r="AE43" s="3" t="s">
        <v>35</v>
      </c>
      <c r="AF43" s="2"/>
    </row>
    <row r="44" spans="1:32">
      <c r="A44" s="3" t="s">
        <v>73</v>
      </c>
      <c r="B44" s="3" t="s">
        <v>79</v>
      </c>
      <c r="C44" s="3">
        <v>112</v>
      </c>
      <c r="D44" s="4">
        <v>17.916</v>
      </c>
      <c r="E44" s="4">
        <v>6.228</v>
      </c>
      <c r="F44" s="3"/>
      <c r="G44" s="5"/>
      <c r="H44" s="3"/>
      <c r="I44" s="5"/>
      <c r="J44" s="3"/>
      <c r="K44" s="5"/>
      <c r="L44" s="3"/>
      <c r="M44" s="5"/>
      <c r="N44" s="3"/>
      <c r="O44" s="5"/>
      <c r="P44" s="3"/>
      <c r="Q44" s="5"/>
      <c r="R44" s="3"/>
      <c r="S44" s="5"/>
      <c r="T44" s="5"/>
      <c r="U44" s="5">
        <v>0</v>
      </c>
      <c r="V44" s="5"/>
      <c r="W44" s="5" t="str">
        <f>G44+I44+K44+M44+O44+Q44+S44+T44+U44+Y44</f>
        <v>0</v>
      </c>
      <c r="X44" s="5">
        <v>22489370.848</v>
      </c>
      <c r="Y44" s="5" t="str">
        <f>W44+X44</f>
        <v>0</v>
      </c>
      <c r="Z44" s="5">
        <v>0</v>
      </c>
      <c r="AA44" s="5" t="str">
        <f>Z44*D44</f>
        <v>0</v>
      </c>
      <c r="AB44" s="5">
        <v>0</v>
      </c>
      <c r="AC44" s="5" t="str">
        <f>AA44*AB44</f>
        <v>0</v>
      </c>
      <c r="AD44" s="5" t="str">
        <f>AC44-Y44</f>
        <v>0</v>
      </c>
      <c r="AE44" s="3" t="s">
        <v>35</v>
      </c>
      <c r="AF44" s="2"/>
    </row>
    <row r="45" spans="1:32">
      <c r="A45" s="3" t="s">
        <v>80</v>
      </c>
      <c r="B45" s="3" t="s">
        <v>81</v>
      </c>
      <c r="C45" s="3">
        <v>399</v>
      </c>
      <c r="D45" s="4">
        <v>17.687</v>
      </c>
      <c r="E45" s="4">
        <v>1.784</v>
      </c>
      <c r="F45" s="3"/>
      <c r="G45" s="5"/>
      <c r="H45" s="3"/>
      <c r="I45" s="5"/>
      <c r="J45" s="3"/>
      <c r="K45" s="5"/>
      <c r="L45" s="3"/>
      <c r="M45" s="5"/>
      <c r="N45" s="3"/>
      <c r="O45" s="5"/>
      <c r="P45" s="3"/>
      <c r="Q45" s="5"/>
      <c r="R45" s="3"/>
      <c r="S45" s="5"/>
      <c r="T45" s="5"/>
      <c r="U45" s="5">
        <v>0</v>
      </c>
      <c r="V45" s="5"/>
      <c r="W45" s="5" t="str">
        <f>G45+I45+K45+M45+O45+Q45+S45+T45+U45+Y45</f>
        <v>0</v>
      </c>
      <c r="X45" s="5">
        <v>28028732.151</v>
      </c>
      <c r="Y45" s="5" t="str">
        <f>W45+X45</f>
        <v>0</v>
      </c>
      <c r="Z45" s="5">
        <v>0</v>
      </c>
      <c r="AA45" s="5" t="str">
        <f>Z45*D45</f>
        <v>0</v>
      </c>
      <c r="AB45" s="5">
        <v>0</v>
      </c>
      <c r="AC45" s="5" t="str">
        <f>AA45*AB45</f>
        <v>0</v>
      </c>
      <c r="AD45" s="5" t="str">
        <f>AC45-Y45</f>
        <v>0</v>
      </c>
      <c r="AE45" s="3" t="s">
        <v>35</v>
      </c>
      <c r="AF45" s="2"/>
    </row>
    <row r="46" spans="1:32">
      <c r="A46" s="3" t="s">
        <v>80</v>
      </c>
      <c r="B46" s="3" t="s">
        <v>82</v>
      </c>
      <c r="C46" s="3">
        <v>126</v>
      </c>
      <c r="D46" s="4">
        <v>17.841</v>
      </c>
      <c r="E46" s="4">
        <v>5.527</v>
      </c>
      <c r="F46" s="3"/>
      <c r="G46" s="5"/>
      <c r="H46" s="3"/>
      <c r="I46" s="5"/>
      <c r="J46" s="3"/>
      <c r="K46" s="5"/>
      <c r="L46" s="3"/>
      <c r="M46" s="5"/>
      <c r="N46" s="3"/>
      <c r="O46" s="5"/>
      <c r="P46" s="3"/>
      <c r="Q46" s="5"/>
      <c r="R46" s="3"/>
      <c r="S46" s="5"/>
      <c r="T46" s="5"/>
      <c r="U46" s="5">
        <v>0</v>
      </c>
      <c r="V46" s="5"/>
      <c r="W46" s="5" t="str">
        <f>G46+I46+K46+M46+O46+Q46+S46+T46+U46+Y46</f>
        <v>0</v>
      </c>
      <c r="X46" s="5">
        <v>21514287.438</v>
      </c>
      <c r="Y46" s="5" t="str">
        <f>W46+X46</f>
        <v>0</v>
      </c>
      <c r="Z46" s="5">
        <v>0</v>
      </c>
      <c r="AA46" s="5" t="str">
        <f>Z46*D46</f>
        <v>0</v>
      </c>
      <c r="AB46" s="5">
        <v>0</v>
      </c>
      <c r="AC46" s="5" t="str">
        <f>AA46*AB46</f>
        <v>0</v>
      </c>
      <c r="AD46" s="5" t="str">
        <f>AC46-Y46</f>
        <v>0</v>
      </c>
      <c r="AE46" s="3" t="s">
        <v>35</v>
      </c>
      <c r="AF46" s="2"/>
    </row>
    <row r="47" spans="1:32">
      <c r="A47" s="3" t="s">
        <v>80</v>
      </c>
      <c r="B47" s="3" t="s">
        <v>83</v>
      </c>
      <c r="C47" s="3">
        <v>65</v>
      </c>
      <c r="D47" s="4">
        <v>17.681</v>
      </c>
      <c r="E47" s="4">
        <v>10.523</v>
      </c>
      <c r="F47" s="3"/>
      <c r="G47" s="5"/>
      <c r="H47" s="3"/>
      <c r="I47" s="5"/>
      <c r="J47" s="3"/>
      <c r="K47" s="5"/>
      <c r="L47" s="3"/>
      <c r="M47" s="5"/>
      <c r="N47" s="3"/>
      <c r="O47" s="5"/>
      <c r="P47" s="3"/>
      <c r="Q47" s="5"/>
      <c r="R47" s="3"/>
      <c r="S47" s="5"/>
      <c r="T47" s="5"/>
      <c r="U47" s="5">
        <v>0</v>
      </c>
      <c r="V47" s="5"/>
      <c r="W47" s="5" t="str">
        <f>G47+I47+K47+M47+O47+Q47+S47+T47+U47+Y47</f>
        <v>0</v>
      </c>
      <c r="X47" s="5">
        <v>23272977.715</v>
      </c>
      <c r="Y47" s="5" t="str">
        <f>W47+X47</f>
        <v>0</v>
      </c>
      <c r="Z47" s="5">
        <v>0</v>
      </c>
      <c r="AA47" s="5" t="str">
        <f>Z47*D47</f>
        <v>0</v>
      </c>
      <c r="AB47" s="5">
        <v>0</v>
      </c>
      <c r="AC47" s="5" t="str">
        <f>AA47*AB47</f>
        <v>0</v>
      </c>
      <c r="AD47" s="5" t="str">
        <f>AC47-Y47</f>
        <v>0</v>
      </c>
      <c r="AE47" s="3" t="s">
        <v>35</v>
      </c>
      <c r="AF47" s="2"/>
    </row>
    <row r="48" spans="1:32">
      <c r="A48" s="3" t="s">
        <v>80</v>
      </c>
      <c r="B48" s="3" t="s">
        <v>84</v>
      </c>
      <c r="C48" s="3">
        <v>337</v>
      </c>
      <c r="D48" s="4">
        <v>17.557</v>
      </c>
      <c r="E48" s="4">
        <v>2.079</v>
      </c>
      <c r="F48" s="3"/>
      <c r="G48" s="5"/>
      <c r="H48" s="3"/>
      <c r="I48" s="5"/>
      <c r="J48" s="3"/>
      <c r="K48" s="5"/>
      <c r="L48" s="3"/>
      <c r="M48" s="5"/>
      <c r="N48" s="3"/>
      <c r="O48" s="5"/>
      <c r="P48" s="3"/>
      <c r="Q48" s="5"/>
      <c r="R48" s="3"/>
      <c r="S48" s="5"/>
      <c r="T48" s="5"/>
      <c r="U48" s="5">
        <v>0</v>
      </c>
      <c r="V48" s="5"/>
      <c r="W48" s="5" t="str">
        <f>G48+I48+K48+M48+O48+Q48+S48+T48+U48+Y48</f>
        <v>0</v>
      </c>
      <c r="X48" s="5">
        <v>23673390.313</v>
      </c>
      <c r="Y48" s="5" t="str">
        <f>W48+X48</f>
        <v>0</v>
      </c>
      <c r="Z48" s="5">
        <v>0</v>
      </c>
      <c r="AA48" s="5" t="str">
        <f>Z48*D48</f>
        <v>0</v>
      </c>
      <c r="AB48" s="5">
        <v>0</v>
      </c>
      <c r="AC48" s="5" t="str">
        <f>AA48*AB48</f>
        <v>0</v>
      </c>
      <c r="AD48" s="5" t="str">
        <f>AC48-Y48</f>
        <v>0</v>
      </c>
      <c r="AE48" s="3" t="s">
        <v>35</v>
      </c>
      <c r="AF48" s="2"/>
    </row>
    <row r="49" spans="1:32">
      <c r="A49" s="3" t="s">
        <v>80</v>
      </c>
      <c r="B49" s="3" t="s">
        <v>85</v>
      </c>
      <c r="C49" s="3">
        <v>64</v>
      </c>
      <c r="D49" s="4">
        <v>18.227</v>
      </c>
      <c r="E49" s="4">
        <v>10.999</v>
      </c>
      <c r="F49" s="3"/>
      <c r="G49" s="5"/>
      <c r="H49" s="3"/>
      <c r="I49" s="5"/>
      <c r="J49" s="3"/>
      <c r="K49" s="5"/>
      <c r="L49" s="3"/>
      <c r="M49" s="5"/>
      <c r="N49" s="3"/>
      <c r="O49" s="5"/>
      <c r="P49" s="3"/>
      <c r="Q49" s="5"/>
      <c r="R49" s="3"/>
      <c r="S49" s="5"/>
      <c r="T49" s="5"/>
      <c r="U49" s="5">
        <v>0</v>
      </c>
      <c r="V49" s="5"/>
      <c r="W49" s="5" t="str">
        <f>G49+I49+K49+M49+O49+Q49+S49+T49+U49+Y49</f>
        <v>0</v>
      </c>
      <c r="X49" s="5">
        <v>22914931.904</v>
      </c>
      <c r="Y49" s="5" t="str">
        <f>W49+X49</f>
        <v>0</v>
      </c>
      <c r="Z49" s="5">
        <v>0</v>
      </c>
      <c r="AA49" s="5" t="str">
        <f>Z49*D49</f>
        <v>0</v>
      </c>
      <c r="AB49" s="5">
        <v>0</v>
      </c>
      <c r="AC49" s="5" t="str">
        <f>AA49*AB49</f>
        <v>0</v>
      </c>
      <c r="AD49" s="5" t="str">
        <f>AC49-Y49</f>
        <v>0</v>
      </c>
      <c r="AE49" s="3" t="s">
        <v>35</v>
      </c>
      <c r="AF49" s="2"/>
    </row>
    <row r="50" spans="1:32">
      <c r="A50" s="3" t="s">
        <v>80</v>
      </c>
      <c r="B50" s="3" t="s">
        <v>86</v>
      </c>
      <c r="C50" s="3">
        <v>65</v>
      </c>
      <c r="D50" s="4">
        <v>17.581</v>
      </c>
      <c r="E50" s="4">
        <v>10.467</v>
      </c>
      <c r="F50" s="3"/>
      <c r="G50" s="5"/>
      <c r="H50" s="3"/>
      <c r="I50" s="5"/>
      <c r="J50" s="3"/>
      <c r="K50" s="5"/>
      <c r="L50" s="3"/>
      <c r="M50" s="5"/>
      <c r="N50" s="3"/>
      <c r="O50" s="5"/>
      <c r="P50" s="3"/>
      <c r="Q50" s="5"/>
      <c r="R50" s="3"/>
      <c r="S50" s="5"/>
      <c r="T50" s="5"/>
      <c r="U50" s="5">
        <v>0</v>
      </c>
      <c r="V50" s="5"/>
      <c r="W50" s="5" t="str">
        <f>G50+I50+K50+M50+O50+Q50+S50+T50+U50+Y50</f>
        <v>0</v>
      </c>
      <c r="X50" s="5">
        <v>23272977.715</v>
      </c>
      <c r="Y50" s="5" t="str">
        <f>W50+X50</f>
        <v>0</v>
      </c>
      <c r="Z50" s="5">
        <v>0</v>
      </c>
      <c r="AA50" s="5" t="str">
        <f>Z50*D50</f>
        <v>0</v>
      </c>
      <c r="AB50" s="5">
        <v>0</v>
      </c>
      <c r="AC50" s="5" t="str">
        <f>AA50*AB50</f>
        <v>0</v>
      </c>
      <c r="AD50" s="5" t="str">
        <f>AC50-Y50</f>
        <v>0</v>
      </c>
      <c r="AE50" s="3" t="s">
        <v>35</v>
      </c>
      <c r="AF50" s="2"/>
    </row>
    <row r="51" spans="1:32">
      <c r="A51" s="3" t="s">
        <v>80</v>
      </c>
      <c r="B51" s="3" t="s">
        <v>87</v>
      </c>
      <c r="C51" s="3">
        <v>123</v>
      </c>
      <c r="D51" s="4">
        <v>17.874</v>
      </c>
      <c r="E51" s="4">
        <v>5.677</v>
      </c>
      <c r="F51" s="3"/>
      <c r="G51" s="5"/>
      <c r="H51" s="3"/>
      <c r="I51" s="5"/>
      <c r="J51" s="3"/>
      <c r="K51" s="5"/>
      <c r="L51" s="3"/>
      <c r="M51" s="5"/>
      <c r="N51" s="3"/>
      <c r="O51" s="5"/>
      <c r="P51" s="3"/>
      <c r="Q51" s="5"/>
      <c r="R51" s="3"/>
      <c r="S51" s="5"/>
      <c r="T51" s="5"/>
      <c r="U51" s="5">
        <v>0</v>
      </c>
      <c r="V51" s="5"/>
      <c r="W51" s="5" t="str">
        <f>G51+I51+K51+M51+O51+Q51+S51+T51+U51+Y51</f>
        <v>0</v>
      </c>
      <c r="X51" s="5">
        <v>21002042.499</v>
      </c>
      <c r="Y51" s="5" t="str">
        <f>W51+X51</f>
        <v>0</v>
      </c>
      <c r="Z51" s="5">
        <v>0</v>
      </c>
      <c r="AA51" s="5" t="str">
        <f>Z51*D51</f>
        <v>0</v>
      </c>
      <c r="AB51" s="5">
        <v>0</v>
      </c>
      <c r="AC51" s="5" t="str">
        <f>AA51*AB51</f>
        <v>0</v>
      </c>
      <c r="AD51" s="5" t="str">
        <f>AC51-Y51</f>
        <v>0</v>
      </c>
      <c r="AE51" s="3" t="s">
        <v>35</v>
      </c>
      <c r="AF51" s="2"/>
    </row>
    <row r="52" spans="1:32">
      <c r="A52" s="3" t="s">
        <v>80</v>
      </c>
      <c r="B52" s="3" t="s">
        <v>88</v>
      </c>
      <c r="C52" s="3">
        <v>63</v>
      </c>
      <c r="D52" s="4">
        <v>17.969</v>
      </c>
      <c r="E52" s="4">
        <v>11.016</v>
      </c>
      <c r="F52" s="3"/>
      <c r="G52" s="5"/>
      <c r="H52" s="3"/>
      <c r="I52" s="5"/>
      <c r="J52" s="3"/>
      <c r="K52" s="5"/>
      <c r="L52" s="3"/>
      <c r="M52" s="5"/>
      <c r="N52" s="3"/>
      <c r="O52" s="5"/>
      <c r="P52" s="3"/>
      <c r="Q52" s="5"/>
      <c r="R52" s="3"/>
      <c r="S52" s="5"/>
      <c r="T52" s="5"/>
      <c r="U52" s="5">
        <v>0</v>
      </c>
      <c r="V52" s="5"/>
      <c r="W52" s="5" t="str">
        <f>G52+I52+K52+M52+O52+Q52+S52+T52+U52+Y52</f>
        <v>0</v>
      </c>
      <c r="X52" s="5">
        <v>22556886.093</v>
      </c>
      <c r="Y52" s="5" t="str">
        <f>W52+X52</f>
        <v>0</v>
      </c>
      <c r="Z52" s="5">
        <v>0</v>
      </c>
      <c r="AA52" s="5" t="str">
        <f>Z52*D52</f>
        <v>0</v>
      </c>
      <c r="AB52" s="5">
        <v>0</v>
      </c>
      <c r="AC52" s="5" t="str">
        <f>AA52*AB52</f>
        <v>0</v>
      </c>
      <c r="AD52" s="5" t="str">
        <f>AC52-Y52</f>
        <v>0</v>
      </c>
      <c r="AE52" s="3" t="s">
        <v>35</v>
      </c>
      <c r="AF52" s="2"/>
    </row>
    <row r="53" spans="1:32">
      <c r="A53" s="3" t="s">
        <v>80</v>
      </c>
      <c r="B53" s="3" t="s">
        <v>89</v>
      </c>
      <c r="C53" s="3">
        <v>363</v>
      </c>
      <c r="D53" s="4">
        <v>17.822</v>
      </c>
      <c r="E53" s="4">
        <v>1.965</v>
      </c>
      <c r="F53" s="3"/>
      <c r="G53" s="5"/>
      <c r="H53" s="3"/>
      <c r="I53" s="5"/>
      <c r="J53" s="3"/>
      <c r="K53" s="5"/>
      <c r="L53" s="3"/>
      <c r="M53" s="5"/>
      <c r="N53" s="3"/>
      <c r="O53" s="5"/>
      <c r="P53" s="3"/>
      <c r="Q53" s="5"/>
      <c r="R53" s="3"/>
      <c r="S53" s="5"/>
      <c r="T53" s="5"/>
      <c r="U53" s="5">
        <v>0</v>
      </c>
      <c r="V53" s="5"/>
      <c r="W53" s="5" t="str">
        <f>G53+I53+K53+M53+O53+Q53+S53+T53+U53+Y53</f>
        <v>0</v>
      </c>
      <c r="X53" s="5">
        <v>25499823.987</v>
      </c>
      <c r="Y53" s="5" t="str">
        <f>W53+X53</f>
        <v>0</v>
      </c>
      <c r="Z53" s="5">
        <v>0</v>
      </c>
      <c r="AA53" s="5" t="str">
        <f>Z53*D53</f>
        <v>0</v>
      </c>
      <c r="AB53" s="5">
        <v>0</v>
      </c>
      <c r="AC53" s="5" t="str">
        <f>AA53*AB53</f>
        <v>0</v>
      </c>
      <c r="AD53" s="5" t="str">
        <f>AC53-Y53</f>
        <v>0</v>
      </c>
      <c r="AE53" s="3" t="s">
        <v>35</v>
      </c>
      <c r="AF53" s="2"/>
    </row>
    <row r="54" spans="1:32">
      <c r="A54" s="3" t="s">
        <v>80</v>
      </c>
      <c r="B54" s="3" t="s">
        <v>90</v>
      </c>
      <c r="C54" s="3">
        <v>61</v>
      </c>
      <c r="D54" s="4">
        <v>18.174</v>
      </c>
      <c r="E54" s="4">
        <v>11.499</v>
      </c>
      <c r="F54" s="3"/>
      <c r="G54" s="5"/>
      <c r="H54" s="3"/>
      <c r="I54" s="5"/>
      <c r="J54" s="3"/>
      <c r="K54" s="5"/>
      <c r="L54" s="3"/>
      <c r="M54" s="5"/>
      <c r="N54" s="3"/>
      <c r="O54" s="5"/>
      <c r="P54" s="3"/>
      <c r="Q54" s="5"/>
      <c r="R54" s="3"/>
      <c r="S54" s="5"/>
      <c r="T54" s="5"/>
      <c r="U54" s="5">
        <v>0</v>
      </c>
      <c r="V54" s="5"/>
      <c r="W54" s="5" t="str">
        <f>G54+I54+K54+M54+O54+Q54+S54+T54+U54+Y54</f>
        <v>0</v>
      </c>
      <c r="X54" s="5">
        <v>21840794.471</v>
      </c>
      <c r="Y54" s="5" t="str">
        <f>W54+X54</f>
        <v>0</v>
      </c>
      <c r="Z54" s="5">
        <v>0</v>
      </c>
      <c r="AA54" s="5" t="str">
        <f>Z54*D54</f>
        <v>0</v>
      </c>
      <c r="AB54" s="5">
        <v>0</v>
      </c>
      <c r="AC54" s="5" t="str">
        <f>AA54*AB54</f>
        <v>0</v>
      </c>
      <c r="AD54" s="5" t="str">
        <f>AC54-Y54</f>
        <v>0</v>
      </c>
      <c r="AE54" s="3" t="s">
        <v>35</v>
      </c>
      <c r="AF54" s="2"/>
    </row>
    <row r="55" spans="1:32">
      <c r="A55" s="3" t="s">
        <v>80</v>
      </c>
      <c r="B55" s="3" t="s">
        <v>91</v>
      </c>
      <c r="C55" s="3">
        <v>61</v>
      </c>
      <c r="D55" s="4">
        <v>18.271</v>
      </c>
      <c r="E55" s="4">
        <v>11.538</v>
      </c>
      <c r="F55" s="3"/>
      <c r="G55" s="5"/>
      <c r="H55" s="3"/>
      <c r="I55" s="5"/>
      <c r="J55" s="3"/>
      <c r="K55" s="5"/>
      <c r="L55" s="3"/>
      <c r="M55" s="5"/>
      <c r="N55" s="3"/>
      <c r="O55" s="5"/>
      <c r="P55" s="3"/>
      <c r="Q55" s="5"/>
      <c r="R55" s="3"/>
      <c r="S55" s="5"/>
      <c r="T55" s="5"/>
      <c r="U55" s="5">
        <v>0</v>
      </c>
      <c r="V55" s="5"/>
      <c r="W55" s="5" t="str">
        <f>G55+I55+K55+M55+O55+Q55+S55+T55+U55+Y55</f>
        <v>0</v>
      </c>
      <c r="X55" s="5">
        <v>21840794.471</v>
      </c>
      <c r="Y55" s="5" t="str">
        <f>W55+X55</f>
        <v>0</v>
      </c>
      <c r="Z55" s="5">
        <v>0</v>
      </c>
      <c r="AA55" s="5" t="str">
        <f>Z55*D55</f>
        <v>0</v>
      </c>
      <c r="AB55" s="5">
        <v>0</v>
      </c>
      <c r="AC55" s="5" t="str">
        <f>AA55*AB55</f>
        <v>0</v>
      </c>
      <c r="AD55" s="5" t="str">
        <f>AC55-Y55</f>
        <v>0</v>
      </c>
      <c r="AE55" s="3" t="s">
        <v>35</v>
      </c>
      <c r="AF55" s="2"/>
    </row>
    <row r="56" spans="1:32">
      <c r="A56" s="3" t="s">
        <v>80</v>
      </c>
      <c r="B56" s="3" t="s">
        <v>92</v>
      </c>
      <c r="C56" s="3">
        <v>61</v>
      </c>
      <c r="D56" s="4">
        <v>15.246</v>
      </c>
      <c r="E56" s="4">
        <v>9.651</v>
      </c>
      <c r="F56" s="3"/>
      <c r="G56" s="5"/>
      <c r="H56" s="3"/>
      <c r="I56" s="5"/>
      <c r="J56" s="3"/>
      <c r="K56" s="5"/>
      <c r="L56" s="3"/>
      <c r="M56" s="5"/>
      <c r="N56" s="3"/>
      <c r="O56" s="5"/>
      <c r="P56" s="3"/>
      <c r="Q56" s="5"/>
      <c r="R56" s="3"/>
      <c r="S56" s="5"/>
      <c r="T56" s="5"/>
      <c r="U56" s="5">
        <v>0</v>
      </c>
      <c r="V56" s="5"/>
      <c r="W56" s="5" t="str">
        <f>G56+I56+K56+M56+O56+Q56+S56+T56+U56+Y56</f>
        <v>0</v>
      </c>
      <c r="X56" s="5">
        <v>21840794.471</v>
      </c>
      <c r="Y56" s="5" t="str">
        <f>W56+X56</f>
        <v>0</v>
      </c>
      <c r="Z56" s="5">
        <v>0</v>
      </c>
      <c r="AA56" s="5" t="str">
        <f>Z56*D56</f>
        <v>0</v>
      </c>
      <c r="AB56" s="5">
        <v>0</v>
      </c>
      <c r="AC56" s="5" t="str">
        <f>AA56*AB56</f>
        <v>0</v>
      </c>
      <c r="AD56" s="5" t="str">
        <f>AC56-Y56</f>
        <v>0</v>
      </c>
      <c r="AE56" s="3" t="s">
        <v>35</v>
      </c>
      <c r="AF56" s="2"/>
    </row>
    <row r="57" spans="1:32">
      <c r="A57" s="3" t="s">
        <v>80</v>
      </c>
      <c r="B57" s="3" t="s">
        <v>93</v>
      </c>
      <c r="C57" s="3">
        <v>343</v>
      </c>
      <c r="D57" s="4">
        <v>17.659</v>
      </c>
      <c r="E57" s="4">
        <v>2.057</v>
      </c>
      <c r="F57" s="3"/>
      <c r="G57" s="5"/>
      <c r="H57" s="3"/>
      <c r="I57" s="5"/>
      <c r="J57" s="3"/>
      <c r="K57" s="5"/>
      <c r="L57" s="3"/>
      <c r="M57" s="5"/>
      <c r="N57" s="3"/>
      <c r="O57" s="5"/>
      <c r="P57" s="3"/>
      <c r="Q57" s="5"/>
      <c r="R57" s="3"/>
      <c r="S57" s="5"/>
      <c r="T57" s="5"/>
      <c r="U57" s="5">
        <v>0</v>
      </c>
      <c r="V57" s="5"/>
      <c r="W57" s="5" t="str">
        <f>G57+I57+K57+M57+O57+Q57+S57+T57+U57+Y57</f>
        <v>0</v>
      </c>
      <c r="X57" s="5">
        <v>24094875.007</v>
      </c>
      <c r="Y57" s="5" t="str">
        <f>W57+X57</f>
        <v>0</v>
      </c>
      <c r="Z57" s="5">
        <v>0</v>
      </c>
      <c r="AA57" s="5" t="str">
        <f>Z57*D57</f>
        <v>0</v>
      </c>
      <c r="AB57" s="5">
        <v>0</v>
      </c>
      <c r="AC57" s="5" t="str">
        <f>AA57*AB57</f>
        <v>0</v>
      </c>
      <c r="AD57" s="5" t="str">
        <f>AC57-Y57</f>
        <v>0</v>
      </c>
      <c r="AE57" s="3" t="s">
        <v>35</v>
      </c>
      <c r="AF57" s="2"/>
    </row>
    <row r="58" spans="1:32">
      <c r="A58" s="3" t="s">
        <v>80</v>
      </c>
      <c r="B58" s="3" t="s">
        <v>94</v>
      </c>
      <c r="C58" s="3">
        <v>52</v>
      </c>
      <c r="D58" s="4">
        <v>2.769</v>
      </c>
      <c r="E58" s="4">
        <v>2.125</v>
      </c>
      <c r="F58" s="3"/>
      <c r="G58" s="5"/>
      <c r="H58" s="3"/>
      <c r="I58" s="5"/>
      <c r="J58" s="3"/>
      <c r="K58" s="5"/>
      <c r="L58" s="3"/>
      <c r="M58" s="5"/>
      <c r="N58" s="3"/>
      <c r="O58" s="5"/>
      <c r="P58" s="3"/>
      <c r="Q58" s="5"/>
      <c r="R58" s="3"/>
      <c r="S58" s="5"/>
      <c r="T58" s="5"/>
      <c r="U58" s="5">
        <v>0</v>
      </c>
      <c r="V58" s="5"/>
      <c r="W58" s="5" t="str">
        <f>G58+I58+K58+M58+O58+Q58+S58+T58+U58+Y58</f>
        <v>0</v>
      </c>
      <c r="X58" s="5">
        <v>3652867.348</v>
      </c>
      <c r="Y58" s="5" t="str">
        <f>W58+X58</f>
        <v>0</v>
      </c>
      <c r="Z58" s="5">
        <v>0</v>
      </c>
      <c r="AA58" s="5" t="str">
        <f>Z58*D58</f>
        <v>0</v>
      </c>
      <c r="AB58" s="5">
        <v>0</v>
      </c>
      <c r="AC58" s="5" t="str">
        <f>AA58*AB58</f>
        <v>0</v>
      </c>
      <c r="AD58" s="5" t="str">
        <f>AC58-Y58</f>
        <v>0</v>
      </c>
      <c r="AE58" s="3" t="s">
        <v>35</v>
      </c>
      <c r="AF58" s="2"/>
    </row>
    <row r="59" spans="1:32">
      <c r="A59" s="3" t="s">
        <v>80</v>
      </c>
      <c r="B59" s="3" t="s">
        <v>95</v>
      </c>
      <c r="C59" s="3">
        <v>84</v>
      </c>
      <c r="D59" s="4">
        <v>5.135</v>
      </c>
      <c r="E59" s="4">
        <v>2.423</v>
      </c>
      <c r="F59" s="3"/>
      <c r="G59" s="5"/>
      <c r="H59" s="3"/>
      <c r="I59" s="5"/>
      <c r="J59" s="3"/>
      <c r="K59" s="5"/>
      <c r="L59" s="3"/>
      <c r="M59" s="5"/>
      <c r="N59" s="3"/>
      <c r="O59" s="5"/>
      <c r="P59" s="3"/>
      <c r="Q59" s="5"/>
      <c r="R59" s="3"/>
      <c r="S59" s="5"/>
      <c r="T59" s="5"/>
      <c r="U59" s="5">
        <v>0</v>
      </c>
      <c r="V59" s="5"/>
      <c r="W59" s="5" t="str">
        <f>G59+I59+K59+M59+O59+Q59+S59+T59+U59+Y59</f>
        <v>0</v>
      </c>
      <c r="X59" s="5">
        <v>5900785.716</v>
      </c>
      <c r="Y59" s="5" t="str">
        <f>W59+X59</f>
        <v>0</v>
      </c>
      <c r="Z59" s="5">
        <v>0</v>
      </c>
      <c r="AA59" s="5" t="str">
        <f>Z59*D59</f>
        <v>0</v>
      </c>
      <c r="AB59" s="5">
        <v>0</v>
      </c>
      <c r="AC59" s="5" t="str">
        <f>AA59*AB59</f>
        <v>0</v>
      </c>
      <c r="AD59" s="5" t="str">
        <f>AC59-Y59</f>
        <v>0</v>
      </c>
      <c r="AE59" s="3" t="s">
        <v>35</v>
      </c>
      <c r="AF59" s="2"/>
    </row>
    <row r="60" spans="1:32">
      <c r="A60" s="3" t="s">
        <v>80</v>
      </c>
      <c r="B60" s="3" t="s">
        <v>96</v>
      </c>
      <c r="C60" s="3">
        <v>33</v>
      </c>
      <c r="D60" s="4">
        <v>13.622</v>
      </c>
      <c r="E60" s="4">
        <v>15.746</v>
      </c>
      <c r="F60" s="3"/>
      <c r="G60" s="5"/>
      <c r="H60" s="3"/>
      <c r="I60" s="5"/>
      <c r="J60" s="3"/>
      <c r="K60" s="5"/>
      <c r="L60" s="3"/>
      <c r="M60" s="5"/>
      <c r="N60" s="3"/>
      <c r="O60" s="5"/>
      <c r="P60" s="3"/>
      <c r="Q60" s="5"/>
      <c r="R60" s="3"/>
      <c r="S60" s="5"/>
      <c r="T60" s="5"/>
      <c r="U60" s="5">
        <v>0</v>
      </c>
      <c r="V60" s="5"/>
      <c r="W60" s="5" t="str">
        <f>G60+I60+K60+M60+O60+Q60+S60+T60+U60+Y60</f>
        <v>0</v>
      </c>
      <c r="X60" s="5">
        <v>11815511.763</v>
      </c>
      <c r="Y60" s="5" t="str">
        <f>W60+X60</f>
        <v>0</v>
      </c>
      <c r="Z60" s="5">
        <v>0</v>
      </c>
      <c r="AA60" s="5" t="str">
        <f>Z60*D60</f>
        <v>0</v>
      </c>
      <c r="AB60" s="5">
        <v>0</v>
      </c>
      <c r="AC60" s="5" t="str">
        <f>AA60*AB60</f>
        <v>0</v>
      </c>
      <c r="AD60" s="5" t="str">
        <f>AC60-Y60</f>
        <v>0</v>
      </c>
      <c r="AE60" s="3" t="s">
        <v>35</v>
      </c>
      <c r="AF60" s="2"/>
    </row>
    <row r="61" spans="1:32">
      <c r="A61" s="3" t="s">
        <v>97</v>
      </c>
      <c r="B61" s="3" t="s">
        <v>98</v>
      </c>
      <c r="C61" s="3">
        <v>105</v>
      </c>
      <c r="D61" s="4">
        <v>17.836</v>
      </c>
      <c r="E61" s="4">
        <v>6.596</v>
      </c>
      <c r="F61" s="3"/>
      <c r="G61" s="5"/>
      <c r="H61" s="3"/>
      <c r="I61" s="5"/>
      <c r="J61" s="3"/>
      <c r="K61" s="5"/>
      <c r="L61" s="3"/>
      <c r="M61" s="5"/>
      <c r="N61" s="3"/>
      <c r="O61" s="5"/>
      <c r="P61" s="3"/>
      <c r="Q61" s="5"/>
      <c r="R61" s="3"/>
      <c r="S61" s="5"/>
      <c r="T61" s="5"/>
      <c r="U61" s="5">
        <v>0</v>
      </c>
      <c r="V61" s="5"/>
      <c r="W61" s="5" t="str">
        <f>G61+I61+K61+M61+O61+Q61+S61+T61+U61+Y61</f>
        <v>0</v>
      </c>
      <c r="X61" s="5">
        <v>27658064.175</v>
      </c>
      <c r="Y61" s="5" t="str">
        <f>W61+X61</f>
        <v>0</v>
      </c>
      <c r="Z61" s="5">
        <v>0</v>
      </c>
      <c r="AA61" s="5" t="str">
        <f>Z61*D61</f>
        <v>0</v>
      </c>
      <c r="AB61" s="5">
        <v>0</v>
      </c>
      <c r="AC61" s="5" t="str">
        <f>AA61*AB61</f>
        <v>0</v>
      </c>
      <c r="AD61" s="5" t="str">
        <f>AC61-Y61</f>
        <v>0</v>
      </c>
      <c r="AE61" s="3" t="s">
        <v>35</v>
      </c>
      <c r="AF61" s="2"/>
    </row>
    <row r="62" spans="1:32">
      <c r="A62" s="3" t="s">
        <v>97</v>
      </c>
      <c r="B62" s="3" t="s">
        <v>99</v>
      </c>
      <c r="C62" s="3">
        <v>266</v>
      </c>
      <c r="D62" s="4">
        <v>17.914</v>
      </c>
      <c r="E62" s="4">
        <v>2.658</v>
      </c>
      <c r="F62" s="3"/>
      <c r="G62" s="5"/>
      <c r="H62" s="3"/>
      <c r="I62" s="5"/>
      <c r="J62" s="3"/>
      <c r="K62" s="5"/>
      <c r="L62" s="3"/>
      <c r="M62" s="5"/>
      <c r="N62" s="3"/>
      <c r="O62" s="5"/>
      <c r="P62" s="3"/>
      <c r="Q62" s="5"/>
      <c r="R62" s="3"/>
      <c r="S62" s="5"/>
      <c r="T62" s="5"/>
      <c r="U62" s="5">
        <v>0</v>
      </c>
      <c r="V62" s="5"/>
      <c r="W62" s="5" t="str">
        <f>G62+I62+K62+M62+O62+Q62+S62+T62+U62+Y62</f>
        <v>0</v>
      </c>
      <c r="X62" s="5">
        <v>14700477.232</v>
      </c>
      <c r="Y62" s="5" t="str">
        <f>W62+X62</f>
        <v>0</v>
      </c>
      <c r="Z62" s="5">
        <v>0</v>
      </c>
      <c r="AA62" s="5" t="str">
        <f>Z62*D62</f>
        <v>0</v>
      </c>
      <c r="AB62" s="5">
        <v>0</v>
      </c>
      <c r="AC62" s="5" t="str">
        <f>AA62*AB62</f>
        <v>0</v>
      </c>
      <c r="AD62" s="5" t="str">
        <f>AC62-Y62</f>
        <v>0</v>
      </c>
      <c r="AE62" s="3" t="s">
        <v>35</v>
      </c>
      <c r="AF62" s="2"/>
    </row>
    <row r="63" spans="1:32">
      <c r="A63" s="3" t="s">
        <v>97</v>
      </c>
      <c r="B63" s="3" t="s">
        <v>100</v>
      </c>
      <c r="C63" s="3">
        <v>282</v>
      </c>
      <c r="D63" s="4">
        <v>17.631</v>
      </c>
      <c r="E63" s="4">
        <v>2.475</v>
      </c>
      <c r="F63" s="3"/>
      <c r="G63" s="5"/>
      <c r="H63" s="3"/>
      <c r="I63" s="5"/>
      <c r="J63" s="3"/>
      <c r="K63" s="5"/>
      <c r="L63" s="3"/>
      <c r="M63" s="5"/>
      <c r="N63" s="3"/>
      <c r="O63" s="5"/>
      <c r="P63" s="3"/>
      <c r="Q63" s="5"/>
      <c r="R63" s="3"/>
      <c r="S63" s="5"/>
      <c r="T63" s="5"/>
      <c r="U63" s="5">
        <v>0</v>
      </c>
      <c r="V63" s="5"/>
      <c r="W63" s="5" t="str">
        <f>G63+I63+K63+M63+O63+Q63+S63+T63+U63+Y63</f>
        <v>0</v>
      </c>
      <c r="X63" s="5">
        <v>15584716.464</v>
      </c>
      <c r="Y63" s="5" t="str">
        <f>W63+X63</f>
        <v>0</v>
      </c>
      <c r="Z63" s="5">
        <v>0</v>
      </c>
      <c r="AA63" s="5" t="str">
        <f>Z63*D63</f>
        <v>0</v>
      </c>
      <c r="AB63" s="5">
        <v>0</v>
      </c>
      <c r="AC63" s="5" t="str">
        <f>AA63*AB63</f>
        <v>0</v>
      </c>
      <c r="AD63" s="5" t="str">
        <f>AC63-Y63</f>
        <v>0</v>
      </c>
      <c r="AE63" s="3" t="s">
        <v>35</v>
      </c>
      <c r="AF63" s="2"/>
    </row>
    <row r="64" spans="1:32">
      <c r="A64" s="3" t="s">
        <v>97</v>
      </c>
      <c r="B64" s="3" t="s">
        <v>101</v>
      </c>
      <c r="C64" s="3">
        <v>65</v>
      </c>
      <c r="D64" s="4">
        <v>18.801</v>
      </c>
      <c r="E64" s="4">
        <v>11.038</v>
      </c>
      <c r="F64" s="3"/>
      <c r="G64" s="5"/>
      <c r="H64" s="3"/>
      <c r="I64" s="5"/>
      <c r="J64" s="3"/>
      <c r="K64" s="5"/>
      <c r="L64" s="3"/>
      <c r="M64" s="5"/>
      <c r="N64" s="3"/>
      <c r="O64" s="5"/>
      <c r="P64" s="3"/>
      <c r="Q64" s="5"/>
      <c r="R64" s="3"/>
      <c r="S64" s="5"/>
      <c r="T64" s="5"/>
      <c r="U64" s="5">
        <v>0</v>
      </c>
      <c r="V64" s="5"/>
      <c r="W64" s="5" t="str">
        <f>G64+I64+K64+M64+O64+Q64+S64+T64+U64+Y64</f>
        <v>0</v>
      </c>
      <c r="X64" s="5">
        <v>17121658.775</v>
      </c>
      <c r="Y64" s="5" t="str">
        <f>W64+X64</f>
        <v>0</v>
      </c>
      <c r="Z64" s="5">
        <v>0</v>
      </c>
      <c r="AA64" s="5" t="str">
        <f>Z64*D64</f>
        <v>0</v>
      </c>
      <c r="AB64" s="5">
        <v>0</v>
      </c>
      <c r="AC64" s="5" t="str">
        <f>AA64*AB64</f>
        <v>0</v>
      </c>
      <c r="AD64" s="5" t="str">
        <f>AC64-Y64</f>
        <v>0</v>
      </c>
      <c r="AE64" s="3" t="s">
        <v>35</v>
      </c>
      <c r="AF64" s="2"/>
    </row>
    <row r="65" spans="1:32">
      <c r="A65" s="3" t="s">
        <v>97</v>
      </c>
      <c r="B65" s="3" t="s">
        <v>102</v>
      </c>
      <c r="C65" s="3">
        <v>267</v>
      </c>
      <c r="D65" s="4">
        <v>17.705</v>
      </c>
      <c r="E65" s="4">
        <v>2.618</v>
      </c>
      <c r="F65" s="3"/>
      <c r="G65" s="5"/>
      <c r="H65" s="3"/>
      <c r="I65" s="5"/>
      <c r="J65" s="3"/>
      <c r="K65" s="5"/>
      <c r="L65" s="3"/>
      <c r="M65" s="5"/>
      <c r="N65" s="3"/>
      <c r="O65" s="5"/>
      <c r="P65" s="3"/>
      <c r="Q65" s="5"/>
      <c r="R65" s="3"/>
      <c r="S65" s="5"/>
      <c r="T65" s="5"/>
      <c r="U65" s="5">
        <v>0</v>
      </c>
      <c r="V65" s="5"/>
      <c r="W65" s="5" t="str">
        <f>G65+I65+K65+M65+O65+Q65+S65+T65+U65+Y65</f>
        <v>0</v>
      </c>
      <c r="X65" s="5">
        <v>14755742.184</v>
      </c>
      <c r="Y65" s="5" t="str">
        <f>W65+X65</f>
        <v>0</v>
      </c>
      <c r="Z65" s="5">
        <v>0</v>
      </c>
      <c r="AA65" s="5" t="str">
        <f>Z65*D65</f>
        <v>0</v>
      </c>
      <c r="AB65" s="5">
        <v>0</v>
      </c>
      <c r="AC65" s="5" t="str">
        <f>AA65*AB65</f>
        <v>0</v>
      </c>
      <c r="AD65" s="5" t="str">
        <f>AC65-Y65</f>
        <v>0</v>
      </c>
      <c r="AE65" s="3" t="s">
        <v>35</v>
      </c>
      <c r="AF65" s="2"/>
    </row>
    <row r="66" spans="1:32">
      <c r="A66" s="3" t="s">
        <v>103</v>
      </c>
      <c r="B66" s="3" t="s">
        <v>104</v>
      </c>
      <c r="C66" s="3">
        <v>51</v>
      </c>
      <c r="D66" s="4">
        <v>18.141</v>
      </c>
      <c r="E66" s="4">
        <v>13.643</v>
      </c>
      <c r="F66" s="3"/>
      <c r="G66" s="5"/>
      <c r="H66" s="3"/>
      <c r="I66" s="5"/>
      <c r="J66" s="3"/>
      <c r="K66" s="5"/>
      <c r="L66" s="3"/>
      <c r="M66" s="5"/>
      <c r="N66" s="3"/>
      <c r="O66" s="5"/>
      <c r="P66" s="3"/>
      <c r="Q66" s="5"/>
      <c r="R66" s="3"/>
      <c r="S66" s="5"/>
      <c r="T66" s="5"/>
      <c r="U66" s="5">
        <v>0</v>
      </c>
      <c r="V66" s="5"/>
      <c r="W66" s="5" t="str">
        <f>G66+I66+K66+M66+O66+Q66+S66+T66+U66+Y66</f>
        <v>0</v>
      </c>
      <c r="X66" s="5">
        <v>24341866.755</v>
      </c>
      <c r="Y66" s="5" t="str">
        <f>W66+X66</f>
        <v>0</v>
      </c>
      <c r="Z66" s="5">
        <v>0</v>
      </c>
      <c r="AA66" s="5" t="str">
        <f>Z66*D66</f>
        <v>0</v>
      </c>
      <c r="AB66" s="5">
        <v>0</v>
      </c>
      <c r="AC66" s="5" t="str">
        <f>AA66*AB66</f>
        <v>0</v>
      </c>
      <c r="AD66" s="5" t="str">
        <f>AC66-Y66</f>
        <v>0</v>
      </c>
      <c r="AE66" s="3" t="s">
        <v>35</v>
      </c>
      <c r="AF66" s="2"/>
    </row>
    <row r="67" spans="1:32">
      <c r="A67" s="3" t="s">
        <v>103</v>
      </c>
      <c r="B67" s="3" t="s">
        <v>105</v>
      </c>
      <c r="C67" s="3">
        <v>52</v>
      </c>
      <c r="D67" s="4">
        <v>18.41</v>
      </c>
      <c r="E67" s="4">
        <v>13.444</v>
      </c>
      <c r="F67" s="3"/>
      <c r="G67" s="5"/>
      <c r="H67" s="3"/>
      <c r="I67" s="5"/>
      <c r="J67" s="3"/>
      <c r="K67" s="5"/>
      <c r="L67" s="3"/>
      <c r="M67" s="5"/>
      <c r="N67" s="3"/>
      <c r="O67" s="5"/>
      <c r="P67" s="3"/>
      <c r="Q67" s="5"/>
      <c r="R67" s="3"/>
      <c r="S67" s="5"/>
      <c r="T67" s="5"/>
      <c r="U67" s="5">
        <v>0</v>
      </c>
      <c r="V67" s="5"/>
      <c r="W67" s="5" t="str">
        <f>G67+I67+K67+M67+O67+Q67+S67+T67+U67+Y67</f>
        <v>0</v>
      </c>
      <c r="X67" s="5">
        <v>19598814.3</v>
      </c>
      <c r="Y67" s="5" t="str">
        <f>W67+X67</f>
        <v>0</v>
      </c>
      <c r="Z67" s="5">
        <v>0</v>
      </c>
      <c r="AA67" s="5" t="str">
        <f>Z67*D67</f>
        <v>0</v>
      </c>
      <c r="AB67" s="5">
        <v>0</v>
      </c>
      <c r="AC67" s="5" t="str">
        <f>AA67*AB67</f>
        <v>0</v>
      </c>
      <c r="AD67" s="5" t="str">
        <f>AC67-Y67</f>
        <v>0</v>
      </c>
      <c r="AE67" s="3" t="s">
        <v>35</v>
      </c>
      <c r="AF67" s="2"/>
    </row>
    <row r="68" spans="1:32">
      <c r="A68" s="3" t="s">
        <v>103</v>
      </c>
      <c r="B68" s="3" t="s">
        <v>106</v>
      </c>
      <c r="C68" s="3">
        <v>297</v>
      </c>
      <c r="D68" s="4">
        <v>17.706</v>
      </c>
      <c r="E68" s="4">
        <v>2.366</v>
      </c>
      <c r="F68" s="3"/>
      <c r="G68" s="5"/>
      <c r="H68" s="3"/>
      <c r="I68" s="5"/>
      <c r="J68" s="3"/>
      <c r="K68" s="5"/>
      <c r="L68" s="3"/>
      <c r="M68" s="5"/>
      <c r="N68" s="3"/>
      <c r="O68" s="5"/>
      <c r="P68" s="3"/>
      <c r="Q68" s="5"/>
      <c r="R68" s="3"/>
      <c r="S68" s="5"/>
      <c r="T68" s="5"/>
      <c r="U68" s="5">
        <v>0</v>
      </c>
      <c r="V68" s="5"/>
      <c r="W68" s="5" t="str">
        <f>G68+I68+K68+M68+O68+Q68+S68+T68+U68+Y68</f>
        <v>0</v>
      </c>
      <c r="X68" s="5">
        <v>16143775.362</v>
      </c>
      <c r="Y68" s="5" t="str">
        <f>W68+X68</f>
        <v>0</v>
      </c>
      <c r="Z68" s="5">
        <v>0</v>
      </c>
      <c r="AA68" s="5" t="str">
        <f>Z68*D68</f>
        <v>0</v>
      </c>
      <c r="AB68" s="5">
        <v>0</v>
      </c>
      <c r="AC68" s="5" t="str">
        <f>AA68*AB68</f>
        <v>0</v>
      </c>
      <c r="AD68" s="5" t="str">
        <f>AC68-Y68</f>
        <v>0</v>
      </c>
      <c r="AE68" s="3" t="s">
        <v>35</v>
      </c>
      <c r="AF68" s="2"/>
    </row>
    <row r="69" spans="1:32">
      <c r="A69" s="3" t="s">
        <v>103</v>
      </c>
      <c r="B69" s="3" t="s">
        <v>107</v>
      </c>
      <c r="C69" s="3">
        <v>300</v>
      </c>
      <c r="D69" s="4">
        <v>17.51</v>
      </c>
      <c r="E69" s="4">
        <v>2.317</v>
      </c>
      <c r="F69" s="3"/>
      <c r="G69" s="5"/>
      <c r="H69" s="3"/>
      <c r="I69" s="5"/>
      <c r="J69" s="3"/>
      <c r="K69" s="5"/>
      <c r="L69" s="3"/>
      <c r="M69" s="5"/>
      <c r="N69" s="3"/>
      <c r="O69" s="5"/>
      <c r="P69" s="3"/>
      <c r="Q69" s="5"/>
      <c r="R69" s="3"/>
      <c r="S69" s="5"/>
      <c r="T69" s="5"/>
      <c r="U69" s="5">
        <v>0</v>
      </c>
      <c r="V69" s="5"/>
      <c r="W69" s="5" t="str">
        <f>G69+I69+K69+M69+O69+Q69+S69+T69+U69+Y69</f>
        <v>0</v>
      </c>
      <c r="X69" s="5">
        <v>16306843.8</v>
      </c>
      <c r="Y69" s="5" t="str">
        <f>W69+X69</f>
        <v>0</v>
      </c>
      <c r="Z69" s="5">
        <v>0</v>
      </c>
      <c r="AA69" s="5" t="str">
        <f>Z69*D69</f>
        <v>0</v>
      </c>
      <c r="AB69" s="5">
        <v>0</v>
      </c>
      <c r="AC69" s="5" t="str">
        <f>AA69*AB69</f>
        <v>0</v>
      </c>
      <c r="AD69" s="5" t="str">
        <f>AC69-Y69</f>
        <v>0</v>
      </c>
      <c r="AE69" s="3" t="s">
        <v>35</v>
      </c>
      <c r="AF69" s="2"/>
    </row>
    <row r="70" spans="1:32">
      <c r="A70" s="3" t="s">
        <v>103</v>
      </c>
      <c r="B70" s="3" t="s">
        <v>108</v>
      </c>
      <c r="C70" s="3">
        <v>95</v>
      </c>
      <c r="D70" s="4">
        <v>17.819</v>
      </c>
      <c r="E70" s="4">
        <v>7.25</v>
      </c>
      <c r="F70" s="3"/>
      <c r="G70" s="5"/>
      <c r="H70" s="3"/>
      <c r="I70" s="5"/>
      <c r="J70" s="3"/>
      <c r="K70" s="5"/>
      <c r="L70" s="3"/>
      <c r="M70" s="5"/>
      <c r="N70" s="3"/>
      <c r="O70" s="5"/>
      <c r="P70" s="3"/>
      <c r="Q70" s="5"/>
      <c r="R70" s="3"/>
      <c r="S70" s="5"/>
      <c r="T70" s="5"/>
      <c r="U70" s="5">
        <v>0</v>
      </c>
      <c r="V70" s="5"/>
      <c r="W70" s="5" t="str">
        <f>G70+I70+K70+M70+O70+Q70+S70+T70+U70+Y70</f>
        <v>0</v>
      </c>
      <c r="X70" s="5">
        <v>35805526.125</v>
      </c>
      <c r="Y70" s="5" t="str">
        <f>W70+X70</f>
        <v>0</v>
      </c>
      <c r="Z70" s="5">
        <v>0</v>
      </c>
      <c r="AA70" s="5" t="str">
        <f>Z70*D70</f>
        <v>0</v>
      </c>
      <c r="AB70" s="5">
        <v>0</v>
      </c>
      <c r="AC70" s="5" t="str">
        <f>AA70*AB70</f>
        <v>0</v>
      </c>
      <c r="AD70" s="5" t="str">
        <f>AC70-Y70</f>
        <v>0</v>
      </c>
      <c r="AE70" s="3" t="s">
        <v>35</v>
      </c>
      <c r="AF70" s="2"/>
    </row>
    <row r="71" spans="1:32">
      <c r="A71" s="3" t="s">
        <v>109</v>
      </c>
      <c r="B71" s="3" t="s">
        <v>110</v>
      </c>
      <c r="C71" s="3">
        <v>50</v>
      </c>
      <c r="D71" s="4">
        <v>18.134</v>
      </c>
      <c r="E71" s="4">
        <v>13.902</v>
      </c>
      <c r="F71" s="3"/>
      <c r="G71" s="5"/>
      <c r="H71" s="3"/>
      <c r="I71" s="5"/>
      <c r="J71" s="3"/>
      <c r="K71" s="5"/>
      <c r="L71" s="3"/>
      <c r="M71" s="5"/>
      <c r="N71" s="3"/>
      <c r="O71" s="5"/>
      <c r="P71" s="3"/>
      <c r="Q71" s="5"/>
      <c r="R71" s="3"/>
      <c r="S71" s="5"/>
      <c r="T71" s="5"/>
      <c r="U71" s="5">
        <v>0</v>
      </c>
      <c r="V71" s="5"/>
      <c r="W71" s="5" t="str">
        <f>G71+I71+K71+M71+O71+Q71+S71+T71+U71+Y71</f>
        <v>0</v>
      </c>
      <c r="X71" s="5">
        <v>21920380.8</v>
      </c>
      <c r="Y71" s="5" t="str">
        <f>W71+X71</f>
        <v>0</v>
      </c>
      <c r="Z71" s="5">
        <v>0</v>
      </c>
      <c r="AA71" s="5" t="str">
        <f>Z71*D71</f>
        <v>0</v>
      </c>
      <c r="AB71" s="5">
        <v>0</v>
      </c>
      <c r="AC71" s="5" t="str">
        <f>AA71*AB71</f>
        <v>0</v>
      </c>
      <c r="AD71" s="5" t="str">
        <f>AC71-Y71</f>
        <v>0</v>
      </c>
      <c r="AE71" s="3" t="s">
        <v>111</v>
      </c>
      <c r="AF71" s="2"/>
    </row>
    <row r="72" spans="1:32">
      <c r="A72" s="3" t="s">
        <v>109</v>
      </c>
      <c r="B72" s="3" t="s">
        <v>112</v>
      </c>
      <c r="C72" s="3">
        <v>55</v>
      </c>
      <c r="D72" s="4">
        <v>3.235</v>
      </c>
      <c r="E72" s="4">
        <v>2.337</v>
      </c>
      <c r="F72" s="3"/>
      <c r="G72" s="5"/>
      <c r="H72" s="3"/>
      <c r="I72" s="5"/>
      <c r="J72" s="3"/>
      <c r="K72" s="5"/>
      <c r="L72" s="3"/>
      <c r="M72" s="5"/>
      <c r="N72" s="3"/>
      <c r="O72" s="5"/>
      <c r="P72" s="3"/>
      <c r="Q72" s="5"/>
      <c r="R72" s="3"/>
      <c r="S72" s="5"/>
      <c r="T72" s="5"/>
      <c r="U72" s="5">
        <v>0</v>
      </c>
      <c r="V72" s="5"/>
      <c r="W72" s="5" t="str">
        <f>G72+I72+K72+M72+O72+Q72+S72+T72+U72+Y72</f>
        <v>0</v>
      </c>
      <c r="X72" s="5">
        <v>3701306.51</v>
      </c>
      <c r="Y72" s="5" t="str">
        <f>W72+X72</f>
        <v>0</v>
      </c>
      <c r="Z72" s="5">
        <v>0</v>
      </c>
      <c r="AA72" s="5" t="str">
        <f>Z72*D72</f>
        <v>0</v>
      </c>
      <c r="AB72" s="5">
        <v>0</v>
      </c>
      <c r="AC72" s="5" t="str">
        <f>AA72*AB72</f>
        <v>0</v>
      </c>
      <c r="AD72" s="5" t="str">
        <f>AC72-Y72</f>
        <v>0</v>
      </c>
      <c r="AE72" s="3" t="s">
        <v>111</v>
      </c>
      <c r="AF72" s="2"/>
    </row>
    <row r="73" spans="1:32">
      <c r="A73" s="3" t="s">
        <v>109</v>
      </c>
      <c r="B73" s="3" t="s">
        <v>113</v>
      </c>
      <c r="C73" s="3">
        <v>53</v>
      </c>
      <c r="D73" s="4">
        <v>15.206</v>
      </c>
      <c r="E73" s="4">
        <v>11.029</v>
      </c>
      <c r="F73" s="3"/>
      <c r="G73" s="5"/>
      <c r="H73" s="3"/>
      <c r="I73" s="5"/>
      <c r="J73" s="3"/>
      <c r="K73" s="5"/>
      <c r="L73" s="3"/>
      <c r="M73" s="5"/>
      <c r="N73" s="3"/>
      <c r="O73" s="5"/>
      <c r="P73" s="3"/>
      <c r="Q73" s="5"/>
      <c r="R73" s="3"/>
      <c r="S73" s="5"/>
      <c r="T73" s="5"/>
      <c r="U73" s="5">
        <v>0</v>
      </c>
      <c r="V73" s="5"/>
      <c r="W73" s="5" t="str">
        <f>G73+I73+K73+M73+O73+Q73+S73+T73+U73+Y73</f>
        <v>0</v>
      </c>
      <c r="X73" s="5">
        <v>23235603.648</v>
      </c>
      <c r="Y73" s="5" t="str">
        <f>W73+X73</f>
        <v>0</v>
      </c>
      <c r="Z73" s="5">
        <v>0</v>
      </c>
      <c r="AA73" s="5" t="str">
        <f>Z73*D73</f>
        <v>0</v>
      </c>
      <c r="AB73" s="5">
        <v>0</v>
      </c>
      <c r="AC73" s="5" t="str">
        <f>AA73*AB73</f>
        <v>0</v>
      </c>
      <c r="AD73" s="5" t="str">
        <f>AC73-Y73</f>
        <v>0</v>
      </c>
      <c r="AE73" s="3" t="s">
        <v>111</v>
      </c>
      <c r="AF73" s="2"/>
    </row>
    <row r="74" spans="1:32">
      <c r="A74" s="3" t="s">
        <v>109</v>
      </c>
      <c r="B74" s="3" t="s">
        <v>114</v>
      </c>
      <c r="C74" s="3">
        <v>44</v>
      </c>
      <c r="D74" s="4">
        <v>14.125</v>
      </c>
      <c r="E74" s="4">
        <v>12.337</v>
      </c>
      <c r="F74" s="3"/>
      <c r="G74" s="5"/>
      <c r="H74" s="3"/>
      <c r="I74" s="5"/>
      <c r="J74" s="3"/>
      <c r="K74" s="5"/>
      <c r="L74" s="3"/>
      <c r="M74" s="5"/>
      <c r="N74" s="3"/>
      <c r="O74" s="5"/>
      <c r="P74" s="3"/>
      <c r="Q74" s="5"/>
      <c r="R74" s="3"/>
      <c r="S74" s="5"/>
      <c r="T74" s="5"/>
      <c r="U74" s="5">
        <v>0</v>
      </c>
      <c r="V74" s="5"/>
      <c r="W74" s="5" t="str">
        <f>G74+I74+K74+M74+O74+Q74+S74+T74+U74+Y74</f>
        <v>0</v>
      </c>
      <c r="X74" s="5">
        <v>19289935.104</v>
      </c>
      <c r="Y74" s="5" t="str">
        <f>W74+X74</f>
        <v>0</v>
      </c>
      <c r="Z74" s="5">
        <v>0</v>
      </c>
      <c r="AA74" s="5" t="str">
        <f>Z74*D74</f>
        <v>0</v>
      </c>
      <c r="AB74" s="5">
        <v>0</v>
      </c>
      <c r="AC74" s="5" t="str">
        <f>AA74*AB74</f>
        <v>0</v>
      </c>
      <c r="AD74" s="5" t="str">
        <f>AC74-Y74</f>
        <v>0</v>
      </c>
      <c r="AE74" s="3" t="s">
        <v>111</v>
      </c>
      <c r="AF74" s="2"/>
    </row>
    <row r="75" spans="1:32">
      <c r="A75" s="3" t="s">
        <v>109</v>
      </c>
      <c r="B75" s="3" t="s">
        <v>115</v>
      </c>
      <c r="C75" s="3">
        <v>72</v>
      </c>
      <c r="D75" s="4">
        <v>3.897</v>
      </c>
      <c r="E75" s="4">
        <v>2.16</v>
      </c>
      <c r="F75" s="3"/>
      <c r="G75" s="5"/>
      <c r="H75" s="3"/>
      <c r="I75" s="5"/>
      <c r="J75" s="3"/>
      <c r="K75" s="5"/>
      <c r="L75" s="3"/>
      <c r="M75" s="5"/>
      <c r="N75" s="3"/>
      <c r="O75" s="5"/>
      <c r="P75" s="3"/>
      <c r="Q75" s="5"/>
      <c r="R75" s="3"/>
      <c r="S75" s="5"/>
      <c r="T75" s="5"/>
      <c r="U75" s="5">
        <v>0</v>
      </c>
      <c r="V75" s="5"/>
      <c r="W75" s="5" t="str">
        <f>G75+I75+K75+M75+O75+Q75+S75+T75+U75+Y75</f>
        <v>0</v>
      </c>
      <c r="X75" s="5">
        <v>4845346.704</v>
      </c>
      <c r="Y75" s="5" t="str">
        <f>W75+X75</f>
        <v>0</v>
      </c>
      <c r="Z75" s="5">
        <v>0</v>
      </c>
      <c r="AA75" s="5" t="str">
        <f>Z75*D75</f>
        <v>0</v>
      </c>
      <c r="AB75" s="5">
        <v>0</v>
      </c>
      <c r="AC75" s="5" t="str">
        <f>AA75*AB75</f>
        <v>0</v>
      </c>
      <c r="AD75" s="5" t="str">
        <f>AC75-Y75</f>
        <v>0</v>
      </c>
      <c r="AE75" s="3" t="s">
        <v>111</v>
      </c>
      <c r="AF75" s="2"/>
    </row>
    <row r="76" spans="1:32">
      <c r="A76" s="3" t="s">
        <v>116</v>
      </c>
      <c r="B76" s="3" t="s">
        <v>117</v>
      </c>
      <c r="C76" s="3">
        <v>101</v>
      </c>
      <c r="D76" s="4">
        <v>18.132</v>
      </c>
      <c r="E76" s="4">
        <v>6.953</v>
      </c>
      <c r="F76" s="3"/>
      <c r="G76" s="5"/>
      <c r="H76" s="3"/>
      <c r="I76" s="5"/>
      <c r="J76" s="3"/>
      <c r="K76" s="5"/>
      <c r="L76" s="3"/>
      <c r="M76" s="5"/>
      <c r="N76" s="3"/>
      <c r="O76" s="5"/>
      <c r="P76" s="3"/>
      <c r="Q76" s="5"/>
      <c r="R76" s="3"/>
      <c r="S76" s="5"/>
      <c r="T76" s="5"/>
      <c r="U76" s="5">
        <v>0</v>
      </c>
      <c r="V76" s="5"/>
      <c r="W76" s="5" t="str">
        <f>G76+I76+K76+M76+O76+Q76+S76+T76+U76+Y76</f>
        <v>0</v>
      </c>
      <c r="X76" s="5">
        <v>24598361.938</v>
      </c>
      <c r="Y76" s="5" t="str">
        <f>W76+X76</f>
        <v>0</v>
      </c>
      <c r="Z76" s="5">
        <v>0</v>
      </c>
      <c r="AA76" s="5" t="str">
        <f>Z76*D76</f>
        <v>0</v>
      </c>
      <c r="AB76" s="5">
        <v>0</v>
      </c>
      <c r="AC76" s="5" t="str">
        <f>AA76*AB76</f>
        <v>0</v>
      </c>
      <c r="AD76" s="5" t="str">
        <f>AC76-Y76</f>
        <v>0</v>
      </c>
      <c r="AE76" s="3" t="s">
        <v>111</v>
      </c>
      <c r="AF76" s="2"/>
    </row>
    <row r="77" spans="1:32">
      <c r="A77" s="3" t="s">
        <v>116</v>
      </c>
      <c r="B77" s="3" t="s">
        <v>118</v>
      </c>
      <c r="C77" s="3">
        <v>308</v>
      </c>
      <c r="D77" s="4">
        <v>17.706</v>
      </c>
      <c r="E77" s="4">
        <v>2.286</v>
      </c>
      <c r="F77" s="3"/>
      <c r="G77" s="5"/>
      <c r="H77" s="3"/>
      <c r="I77" s="5"/>
      <c r="J77" s="3"/>
      <c r="K77" s="5"/>
      <c r="L77" s="3"/>
      <c r="M77" s="5"/>
      <c r="N77" s="3"/>
      <c r="O77" s="5"/>
      <c r="P77" s="3"/>
      <c r="Q77" s="5"/>
      <c r="R77" s="3"/>
      <c r="S77" s="5"/>
      <c r="T77" s="5"/>
      <c r="U77" s="5">
        <v>0</v>
      </c>
      <c r="V77" s="5"/>
      <c r="W77" s="5" t="str">
        <f>G77+I77+K77+M77+O77+Q77+S77+T77+U77+Y77</f>
        <v>0</v>
      </c>
      <c r="X77" s="5">
        <v>19274483.536</v>
      </c>
      <c r="Y77" s="5" t="str">
        <f>W77+X77</f>
        <v>0</v>
      </c>
      <c r="Z77" s="5">
        <v>0</v>
      </c>
      <c r="AA77" s="5" t="str">
        <f>Z77*D77</f>
        <v>0</v>
      </c>
      <c r="AB77" s="5">
        <v>0</v>
      </c>
      <c r="AC77" s="5" t="str">
        <f>AA77*AB77</f>
        <v>0</v>
      </c>
      <c r="AD77" s="5" t="str">
        <f>AC77-Y77</f>
        <v>0</v>
      </c>
      <c r="AE77" s="3" t="s">
        <v>111</v>
      </c>
      <c r="AF77" s="2"/>
    </row>
    <row r="78" spans="1:32">
      <c r="A78" s="3" t="s">
        <v>116</v>
      </c>
      <c r="B78" s="3" t="s">
        <v>119</v>
      </c>
      <c r="C78" s="3">
        <v>56</v>
      </c>
      <c r="D78" s="4">
        <v>18.175</v>
      </c>
      <c r="E78" s="4">
        <v>12.495</v>
      </c>
      <c r="F78" s="3"/>
      <c r="G78" s="5"/>
      <c r="H78" s="3"/>
      <c r="I78" s="5"/>
      <c r="J78" s="3"/>
      <c r="K78" s="5"/>
      <c r="L78" s="3"/>
      <c r="M78" s="5"/>
      <c r="N78" s="3"/>
      <c r="O78" s="5"/>
      <c r="P78" s="3"/>
      <c r="Q78" s="5"/>
      <c r="R78" s="3"/>
      <c r="S78" s="5"/>
      <c r="T78" s="5"/>
      <c r="U78" s="5">
        <v>0</v>
      </c>
      <c r="V78" s="5"/>
      <c r="W78" s="5" t="str">
        <f>G78+I78+K78+M78+O78+Q78+S78+T78+U78+Y78</f>
        <v>0</v>
      </c>
      <c r="X78" s="5">
        <v>20471275.72</v>
      </c>
      <c r="Y78" s="5" t="str">
        <f>W78+X78</f>
        <v>0</v>
      </c>
      <c r="Z78" s="5">
        <v>0</v>
      </c>
      <c r="AA78" s="5" t="str">
        <f>Z78*D78</f>
        <v>0</v>
      </c>
      <c r="AB78" s="5">
        <v>0</v>
      </c>
      <c r="AC78" s="5" t="str">
        <f>AA78*AB78</f>
        <v>0</v>
      </c>
      <c r="AD78" s="5" t="str">
        <f>AC78-Y78</f>
        <v>0</v>
      </c>
      <c r="AE78" s="3" t="s">
        <v>111</v>
      </c>
      <c r="AF78" s="2"/>
    </row>
    <row r="79" spans="1:32">
      <c r="A79" s="3" t="s">
        <v>116</v>
      </c>
      <c r="B79" s="3" t="s">
        <v>120</v>
      </c>
      <c r="C79" s="3">
        <v>59</v>
      </c>
      <c r="D79" s="4">
        <v>17.677</v>
      </c>
      <c r="E79" s="4">
        <v>11.55</v>
      </c>
      <c r="F79" s="3"/>
      <c r="G79" s="5"/>
      <c r="H79" s="3"/>
      <c r="I79" s="5"/>
      <c r="J79" s="3"/>
      <c r="K79" s="5"/>
      <c r="L79" s="3"/>
      <c r="M79" s="5"/>
      <c r="N79" s="3"/>
      <c r="O79" s="5"/>
      <c r="P79" s="3"/>
      <c r="Q79" s="5"/>
      <c r="R79" s="3"/>
      <c r="S79" s="5"/>
      <c r="T79" s="5"/>
      <c r="U79" s="5">
        <v>0</v>
      </c>
      <c r="V79" s="5"/>
      <c r="W79" s="5" t="str">
        <f>G79+I79+K79+M79+O79+Q79+S79+T79+U79+Y79</f>
        <v>0</v>
      </c>
      <c r="X79" s="5">
        <v>21567951.205</v>
      </c>
      <c r="Y79" s="5" t="str">
        <f>W79+X79</f>
        <v>0</v>
      </c>
      <c r="Z79" s="5">
        <v>0</v>
      </c>
      <c r="AA79" s="5" t="str">
        <f>Z79*D79</f>
        <v>0</v>
      </c>
      <c r="AB79" s="5">
        <v>0</v>
      </c>
      <c r="AC79" s="5" t="str">
        <f>AA79*AB79</f>
        <v>0</v>
      </c>
      <c r="AD79" s="5" t="str">
        <f>AC79-Y79</f>
        <v>0</v>
      </c>
      <c r="AE79" s="3" t="s">
        <v>111</v>
      </c>
      <c r="AF79" s="2"/>
    </row>
    <row r="80" spans="1:32">
      <c r="A80" s="3" t="s">
        <v>116</v>
      </c>
      <c r="B80" s="3" t="s">
        <v>121</v>
      </c>
      <c r="C80" s="3">
        <v>307</v>
      </c>
      <c r="D80" s="4">
        <v>17.681</v>
      </c>
      <c r="E80" s="4">
        <v>2.288</v>
      </c>
      <c r="F80" s="3"/>
      <c r="G80" s="5"/>
      <c r="H80" s="3"/>
      <c r="I80" s="5"/>
      <c r="J80" s="3"/>
      <c r="K80" s="5"/>
      <c r="L80" s="3"/>
      <c r="M80" s="5"/>
      <c r="N80" s="3"/>
      <c r="O80" s="5"/>
      <c r="P80" s="3"/>
      <c r="Q80" s="5"/>
      <c r="R80" s="3"/>
      <c r="S80" s="5"/>
      <c r="T80" s="5"/>
      <c r="U80" s="5">
        <v>0</v>
      </c>
      <c r="V80" s="5"/>
      <c r="W80" s="5" t="str">
        <f>G80+I80+K80+M80+O80+Q80+S80+T80+U80+Y80</f>
        <v>0</v>
      </c>
      <c r="X80" s="5">
        <v>19211904.044</v>
      </c>
      <c r="Y80" s="5" t="str">
        <f>W80+X80</f>
        <v>0</v>
      </c>
      <c r="Z80" s="5">
        <v>0</v>
      </c>
      <c r="AA80" s="5" t="str">
        <f>Z80*D80</f>
        <v>0</v>
      </c>
      <c r="AB80" s="5">
        <v>0</v>
      </c>
      <c r="AC80" s="5" t="str">
        <f>AA80*AB80</f>
        <v>0</v>
      </c>
      <c r="AD80" s="5" t="str">
        <f>AC80-Y80</f>
        <v>0</v>
      </c>
      <c r="AE80" s="3" t="s">
        <v>111</v>
      </c>
      <c r="AF80" s="2"/>
    </row>
    <row r="81" spans="1:32">
      <c r="A81" s="3" t="s">
        <v>116</v>
      </c>
      <c r="B81" s="3" t="s">
        <v>122</v>
      </c>
      <c r="C81" s="3">
        <v>321</v>
      </c>
      <c r="D81" s="4">
        <v>17.526</v>
      </c>
      <c r="E81" s="4">
        <v>2.175</v>
      </c>
      <c r="F81" s="3"/>
      <c r="G81" s="5"/>
      <c r="H81" s="3"/>
      <c r="I81" s="5"/>
      <c r="J81" s="3"/>
      <c r="K81" s="5"/>
      <c r="L81" s="3"/>
      <c r="M81" s="5"/>
      <c r="N81" s="3"/>
      <c r="O81" s="5"/>
      <c r="P81" s="3"/>
      <c r="Q81" s="5"/>
      <c r="R81" s="3"/>
      <c r="S81" s="5"/>
      <c r="T81" s="5"/>
      <c r="U81" s="5">
        <v>0</v>
      </c>
      <c r="V81" s="5"/>
      <c r="W81" s="5" t="str">
        <f>G81+I81+K81+M81+O81+Q81+S81+T81+U81+Y81</f>
        <v>0</v>
      </c>
      <c r="X81" s="5">
        <v>20088016.932</v>
      </c>
      <c r="Y81" s="5" t="str">
        <f>W81+X81</f>
        <v>0</v>
      </c>
      <c r="Z81" s="5">
        <v>0</v>
      </c>
      <c r="AA81" s="5" t="str">
        <f>Z81*D81</f>
        <v>0</v>
      </c>
      <c r="AB81" s="5">
        <v>0</v>
      </c>
      <c r="AC81" s="5" t="str">
        <f>AA81*AB81</f>
        <v>0</v>
      </c>
      <c r="AD81" s="5" t="str">
        <f>AC81-Y81</f>
        <v>0</v>
      </c>
      <c r="AE81" s="3" t="s">
        <v>111</v>
      </c>
      <c r="AF81" s="2"/>
    </row>
    <row r="82" spans="1:32">
      <c r="A82" s="3" t="s">
        <v>116</v>
      </c>
      <c r="B82" s="3" t="s">
        <v>123</v>
      </c>
      <c r="C82" s="3">
        <v>111</v>
      </c>
      <c r="D82" s="4">
        <v>18.071</v>
      </c>
      <c r="E82" s="4">
        <v>6.329</v>
      </c>
      <c r="F82" s="3"/>
      <c r="G82" s="5"/>
      <c r="H82" s="3"/>
      <c r="I82" s="5"/>
      <c r="J82" s="3"/>
      <c r="K82" s="5"/>
      <c r="L82" s="3"/>
      <c r="M82" s="5"/>
      <c r="N82" s="3"/>
      <c r="O82" s="5"/>
      <c r="P82" s="3"/>
      <c r="Q82" s="5"/>
      <c r="R82" s="3"/>
      <c r="S82" s="5"/>
      <c r="T82" s="5"/>
      <c r="U82" s="5">
        <v>0</v>
      </c>
      <c r="V82" s="5"/>
      <c r="W82" s="5" t="str">
        <f>G82+I82+K82+M82+O82+Q82+S82+T82+U82+Y82</f>
        <v>0</v>
      </c>
      <c r="X82" s="5">
        <v>27033843.318</v>
      </c>
      <c r="Y82" s="5" t="str">
        <f>W82+X82</f>
        <v>0</v>
      </c>
      <c r="Z82" s="5">
        <v>0</v>
      </c>
      <c r="AA82" s="5" t="str">
        <f>Z82*D82</f>
        <v>0</v>
      </c>
      <c r="AB82" s="5">
        <v>0</v>
      </c>
      <c r="AC82" s="5" t="str">
        <f>AA82*AB82</f>
        <v>0</v>
      </c>
      <c r="AD82" s="5" t="str">
        <f>AC82-Y82</f>
        <v>0</v>
      </c>
      <c r="AE82" s="3" t="s">
        <v>111</v>
      </c>
      <c r="AF82" s="2"/>
    </row>
    <row r="83" spans="1:32">
      <c r="A83" s="3" t="s">
        <v>124</v>
      </c>
      <c r="B83" s="3" t="s">
        <v>125</v>
      </c>
      <c r="C83" s="3">
        <v>356</v>
      </c>
      <c r="D83" s="4">
        <v>17.811</v>
      </c>
      <c r="E83" s="4">
        <v>2</v>
      </c>
      <c r="F83" s="3"/>
      <c r="G83" s="5"/>
      <c r="H83" s="3"/>
      <c r="I83" s="5"/>
      <c r="J83" s="3"/>
      <c r="K83" s="5"/>
      <c r="L83" s="3"/>
      <c r="M83" s="5"/>
      <c r="N83" s="3"/>
      <c r="O83" s="5"/>
      <c r="P83" s="3"/>
      <c r="Q83" s="5"/>
      <c r="R83" s="3"/>
      <c r="S83" s="5"/>
      <c r="T83" s="5"/>
      <c r="U83" s="5">
        <v>0</v>
      </c>
      <c r="V83" s="5"/>
      <c r="W83" s="5" t="str">
        <f>G83+I83+K83+M83+O83+Q83+S83+T83+U83+Y83</f>
        <v>0</v>
      </c>
      <c r="X83" s="5">
        <v>19271986.308</v>
      </c>
      <c r="Y83" s="5" t="str">
        <f>W83+X83</f>
        <v>0</v>
      </c>
      <c r="Z83" s="5">
        <v>0</v>
      </c>
      <c r="AA83" s="5" t="str">
        <f>Z83*D83</f>
        <v>0</v>
      </c>
      <c r="AB83" s="5">
        <v>0</v>
      </c>
      <c r="AC83" s="5" t="str">
        <f>AA83*AB83</f>
        <v>0</v>
      </c>
      <c r="AD83" s="5" t="str">
        <f>AC83-Y83</f>
        <v>0</v>
      </c>
      <c r="AE83" s="3" t="s">
        <v>111</v>
      </c>
      <c r="AF83" s="2"/>
    </row>
    <row r="84" spans="1:32">
      <c r="A84" s="3" t="s">
        <v>124</v>
      </c>
      <c r="B84" s="3" t="s">
        <v>126</v>
      </c>
      <c r="C84" s="3">
        <v>64</v>
      </c>
      <c r="D84" s="4">
        <v>17.583</v>
      </c>
      <c r="E84" s="4">
        <v>10.616</v>
      </c>
      <c r="F84" s="3"/>
      <c r="G84" s="5"/>
      <c r="H84" s="3"/>
      <c r="I84" s="5"/>
      <c r="J84" s="3"/>
      <c r="K84" s="5"/>
      <c r="L84" s="3"/>
      <c r="M84" s="5"/>
      <c r="N84" s="3"/>
      <c r="O84" s="5"/>
      <c r="P84" s="3"/>
      <c r="Q84" s="5"/>
      <c r="R84" s="3"/>
      <c r="S84" s="5"/>
      <c r="T84" s="5"/>
      <c r="U84" s="5">
        <v>0</v>
      </c>
      <c r="V84" s="5"/>
      <c r="W84" s="5" t="str">
        <f>G84+I84+K84+M84+O84+Q84+S84+T84+U84+Y84</f>
        <v>0</v>
      </c>
      <c r="X84" s="5">
        <v>21238639.36</v>
      </c>
      <c r="Y84" s="5" t="str">
        <f>W84+X84</f>
        <v>0</v>
      </c>
      <c r="Z84" s="5">
        <v>0</v>
      </c>
      <c r="AA84" s="5" t="str">
        <f>Z84*D84</f>
        <v>0</v>
      </c>
      <c r="AB84" s="5">
        <v>0</v>
      </c>
      <c r="AC84" s="5" t="str">
        <f>AA84*AB84</f>
        <v>0</v>
      </c>
      <c r="AD84" s="5" t="str">
        <f>AC84-Y84</f>
        <v>0</v>
      </c>
      <c r="AE84" s="3" t="s">
        <v>111</v>
      </c>
      <c r="AF84" s="2"/>
    </row>
    <row r="85" spans="1:32">
      <c r="A85" s="3" t="s">
        <v>124</v>
      </c>
      <c r="B85" s="3" t="s">
        <v>127</v>
      </c>
      <c r="C85" s="3">
        <v>347</v>
      </c>
      <c r="D85" s="4">
        <v>17.361</v>
      </c>
      <c r="E85" s="4">
        <v>2.001</v>
      </c>
      <c r="F85" s="3"/>
      <c r="G85" s="5"/>
      <c r="H85" s="3"/>
      <c r="I85" s="5"/>
      <c r="J85" s="3"/>
      <c r="K85" s="5"/>
      <c r="L85" s="3"/>
      <c r="M85" s="5"/>
      <c r="N85" s="3"/>
      <c r="O85" s="5"/>
      <c r="P85" s="3"/>
      <c r="Q85" s="5"/>
      <c r="R85" s="3"/>
      <c r="S85" s="5"/>
      <c r="T85" s="5"/>
      <c r="U85" s="5">
        <v>0</v>
      </c>
      <c r="V85" s="5"/>
      <c r="W85" s="5" t="str">
        <f>G85+I85+K85+M85+O85+Q85+S85+T85+U85+Y85</f>
        <v>0</v>
      </c>
      <c r="X85" s="5">
        <v>18784773.171</v>
      </c>
      <c r="Y85" s="5" t="str">
        <f>W85+X85</f>
        <v>0</v>
      </c>
      <c r="Z85" s="5">
        <v>0</v>
      </c>
      <c r="AA85" s="5" t="str">
        <f>Z85*D85</f>
        <v>0</v>
      </c>
      <c r="AB85" s="5">
        <v>0</v>
      </c>
      <c r="AC85" s="5" t="str">
        <f>AA85*AB85</f>
        <v>0</v>
      </c>
      <c r="AD85" s="5" t="str">
        <f>AC85-Y85</f>
        <v>0</v>
      </c>
      <c r="AE85" s="3" t="s">
        <v>111</v>
      </c>
      <c r="AF85" s="2"/>
    </row>
    <row r="86" spans="1:32">
      <c r="A86" s="3" t="s">
        <v>124</v>
      </c>
      <c r="B86" s="3" t="s">
        <v>128</v>
      </c>
      <c r="C86" s="3">
        <v>386</v>
      </c>
      <c r="D86" s="4">
        <v>17.157</v>
      </c>
      <c r="E86" s="4">
        <v>1.788</v>
      </c>
      <c r="F86" s="3"/>
      <c r="G86" s="5"/>
      <c r="H86" s="3"/>
      <c r="I86" s="5"/>
      <c r="J86" s="3"/>
      <c r="K86" s="5"/>
      <c r="L86" s="3"/>
      <c r="M86" s="5"/>
      <c r="N86" s="3"/>
      <c r="O86" s="5"/>
      <c r="P86" s="3"/>
      <c r="Q86" s="5"/>
      <c r="R86" s="3"/>
      <c r="S86" s="5"/>
      <c r="T86" s="5"/>
      <c r="U86" s="5">
        <v>0</v>
      </c>
      <c r="V86" s="5"/>
      <c r="W86" s="5" t="str">
        <f>G86+I86+K86+M86+O86+Q86+S86+T86+U86+Y86</f>
        <v>0</v>
      </c>
      <c r="X86" s="5">
        <v>20896030.098</v>
      </c>
      <c r="Y86" s="5" t="str">
        <f>W86+X86</f>
        <v>0</v>
      </c>
      <c r="Z86" s="5">
        <v>0</v>
      </c>
      <c r="AA86" s="5" t="str">
        <f>Z86*D86</f>
        <v>0</v>
      </c>
      <c r="AB86" s="5">
        <v>0</v>
      </c>
      <c r="AC86" s="5" t="str">
        <f>AA86*AB86</f>
        <v>0</v>
      </c>
      <c r="AD86" s="5" t="str">
        <f>AC86-Y86</f>
        <v>0</v>
      </c>
      <c r="AE86" s="3" t="s">
        <v>111</v>
      </c>
      <c r="AF86" s="2"/>
    </row>
    <row r="87" spans="1:32">
      <c r="A87" s="3" t="s">
        <v>129</v>
      </c>
      <c r="B87" s="3" t="s">
        <v>130</v>
      </c>
      <c r="C87" s="3">
        <v>70</v>
      </c>
      <c r="D87" s="4">
        <v>18.12</v>
      </c>
      <c r="E87" s="4">
        <v>10.009</v>
      </c>
      <c r="F87" s="3"/>
      <c r="G87" s="5"/>
      <c r="H87" s="3"/>
      <c r="I87" s="5"/>
      <c r="J87" s="3"/>
      <c r="K87" s="5"/>
      <c r="L87" s="3"/>
      <c r="M87" s="5"/>
      <c r="N87" s="3"/>
      <c r="O87" s="5"/>
      <c r="P87" s="3"/>
      <c r="Q87" s="5"/>
      <c r="R87" s="3"/>
      <c r="S87" s="5"/>
      <c r="T87" s="5"/>
      <c r="U87" s="5">
        <v>0</v>
      </c>
      <c r="V87" s="5"/>
      <c r="W87" s="5" t="str">
        <f>G87+I87+K87+M87+O87+Q87+S87+T87+U87+Y87</f>
        <v>0</v>
      </c>
      <c r="X87" s="5">
        <v>24400142.41</v>
      </c>
      <c r="Y87" s="5" t="str">
        <f>W87+X87</f>
        <v>0</v>
      </c>
      <c r="Z87" s="5">
        <v>0</v>
      </c>
      <c r="AA87" s="5" t="str">
        <f>Z87*D87</f>
        <v>0</v>
      </c>
      <c r="AB87" s="5">
        <v>0</v>
      </c>
      <c r="AC87" s="5" t="str">
        <f>AA87*AB87</f>
        <v>0</v>
      </c>
      <c r="AD87" s="5" t="str">
        <f>AC87-Y87</f>
        <v>0</v>
      </c>
      <c r="AE87" s="3" t="s">
        <v>111</v>
      </c>
      <c r="AF87" s="2"/>
    </row>
    <row r="88" spans="1:32">
      <c r="A88" s="3" t="s">
        <v>129</v>
      </c>
      <c r="B88" s="3" t="s">
        <v>131</v>
      </c>
      <c r="C88" s="3">
        <v>101</v>
      </c>
      <c r="D88" s="4">
        <v>18.224</v>
      </c>
      <c r="E88" s="4">
        <v>6.987</v>
      </c>
      <c r="F88" s="3"/>
      <c r="G88" s="5"/>
      <c r="H88" s="3"/>
      <c r="I88" s="5"/>
      <c r="J88" s="3"/>
      <c r="K88" s="5"/>
      <c r="L88" s="3"/>
      <c r="M88" s="5"/>
      <c r="N88" s="3"/>
      <c r="O88" s="5"/>
      <c r="P88" s="3"/>
      <c r="Q88" s="5"/>
      <c r="R88" s="3"/>
      <c r="S88" s="5"/>
      <c r="T88" s="5"/>
      <c r="U88" s="5">
        <v>0</v>
      </c>
      <c r="V88" s="5"/>
      <c r="W88" s="5" t="str">
        <f>G88+I88+K88+M88+O88+Q88+S88+T88+U88+Y88</f>
        <v>0</v>
      </c>
      <c r="X88" s="5">
        <v>24312104.607</v>
      </c>
      <c r="Y88" s="5" t="str">
        <f>W88+X88</f>
        <v>0</v>
      </c>
      <c r="Z88" s="5">
        <v>0</v>
      </c>
      <c r="AA88" s="5" t="str">
        <f>Z88*D88</f>
        <v>0</v>
      </c>
      <c r="AB88" s="5">
        <v>0</v>
      </c>
      <c r="AC88" s="5" t="str">
        <f>AA88*AB88</f>
        <v>0</v>
      </c>
      <c r="AD88" s="5" t="str">
        <f>AC88-Y88</f>
        <v>0</v>
      </c>
      <c r="AE88" s="3" t="s">
        <v>111</v>
      </c>
      <c r="AF88" s="2"/>
    </row>
    <row r="89" spans="1:32">
      <c r="A89" s="3" t="s">
        <v>129</v>
      </c>
      <c r="B89" s="3" t="s">
        <v>132</v>
      </c>
      <c r="C89" s="3">
        <v>73</v>
      </c>
      <c r="D89" s="4">
        <v>18.307</v>
      </c>
      <c r="E89" s="4">
        <v>9.714</v>
      </c>
      <c r="F89" s="3"/>
      <c r="G89" s="5"/>
      <c r="H89" s="3"/>
      <c r="I89" s="5"/>
      <c r="J89" s="3"/>
      <c r="K89" s="5"/>
      <c r="L89" s="3"/>
      <c r="M89" s="5"/>
      <c r="N89" s="3"/>
      <c r="O89" s="5"/>
      <c r="P89" s="3"/>
      <c r="Q89" s="5"/>
      <c r="R89" s="3"/>
      <c r="S89" s="5"/>
      <c r="T89" s="5"/>
      <c r="U89" s="5">
        <v>0</v>
      </c>
      <c r="V89" s="5"/>
      <c r="W89" s="5" t="str">
        <f>G89+I89+K89+M89+O89+Q89+S89+T89+U89+Y89</f>
        <v>0</v>
      </c>
      <c r="X89" s="5">
        <v>25445862.799</v>
      </c>
      <c r="Y89" s="5" t="str">
        <f>W89+X89</f>
        <v>0</v>
      </c>
      <c r="Z89" s="5">
        <v>0</v>
      </c>
      <c r="AA89" s="5" t="str">
        <f>Z89*D89</f>
        <v>0</v>
      </c>
      <c r="AB89" s="5">
        <v>0</v>
      </c>
      <c r="AC89" s="5" t="str">
        <f>AA89*AB89</f>
        <v>0</v>
      </c>
      <c r="AD89" s="5" t="str">
        <f>AC89-Y89</f>
        <v>0</v>
      </c>
      <c r="AE89" s="3" t="s">
        <v>111</v>
      </c>
      <c r="AF89" s="2"/>
    </row>
    <row r="90" spans="1:32">
      <c r="A90" s="3" t="s">
        <v>129</v>
      </c>
      <c r="B90" s="3" t="s">
        <v>133</v>
      </c>
      <c r="C90" s="3">
        <v>341</v>
      </c>
      <c r="D90" s="4">
        <v>17.259</v>
      </c>
      <c r="E90" s="4">
        <v>2.023</v>
      </c>
      <c r="F90" s="3"/>
      <c r="G90" s="5"/>
      <c r="H90" s="3"/>
      <c r="I90" s="5"/>
      <c r="J90" s="3"/>
      <c r="K90" s="5"/>
      <c r="L90" s="3"/>
      <c r="M90" s="5"/>
      <c r="N90" s="3"/>
      <c r="O90" s="5"/>
      <c r="P90" s="3"/>
      <c r="Q90" s="5"/>
      <c r="R90" s="3"/>
      <c r="S90" s="5"/>
      <c r="T90" s="5"/>
      <c r="U90" s="5">
        <v>0</v>
      </c>
      <c r="V90" s="5"/>
      <c r="W90" s="5" t="str">
        <f>G90+I90+K90+M90+O90+Q90+S90+T90+U90+Y90</f>
        <v>0</v>
      </c>
      <c r="X90" s="5">
        <v>18971763.811</v>
      </c>
      <c r="Y90" s="5" t="str">
        <f>W90+X90</f>
        <v>0</v>
      </c>
      <c r="Z90" s="5">
        <v>0</v>
      </c>
      <c r="AA90" s="5" t="str">
        <f>Z90*D90</f>
        <v>0</v>
      </c>
      <c r="AB90" s="5">
        <v>0</v>
      </c>
      <c r="AC90" s="5" t="str">
        <f>AA90*AB90</f>
        <v>0</v>
      </c>
      <c r="AD90" s="5" t="str">
        <f>AC90-Y90</f>
        <v>0</v>
      </c>
      <c r="AE90" s="3" t="s">
        <v>111</v>
      </c>
      <c r="AF90" s="2"/>
    </row>
    <row r="91" spans="1:32">
      <c r="A91" s="3" t="s">
        <v>129</v>
      </c>
      <c r="B91" s="3" t="s">
        <v>134</v>
      </c>
      <c r="C91" s="3">
        <v>78</v>
      </c>
      <c r="D91" s="4">
        <v>4.28</v>
      </c>
      <c r="E91" s="4">
        <v>2.184</v>
      </c>
      <c r="F91" s="3"/>
      <c r="G91" s="5"/>
      <c r="H91" s="3"/>
      <c r="I91" s="5"/>
      <c r="J91" s="3"/>
      <c r="K91" s="5"/>
      <c r="L91" s="3"/>
      <c r="M91" s="5"/>
      <c r="N91" s="3"/>
      <c r="O91" s="5"/>
      <c r="P91" s="3"/>
      <c r="Q91" s="5"/>
      <c r="R91" s="3"/>
      <c r="S91" s="5"/>
      <c r="T91" s="5"/>
      <c r="U91" s="5">
        <v>0</v>
      </c>
      <c r="V91" s="5"/>
      <c r="W91" s="5" t="str">
        <f>G91+I91+K91+M91+O91+Q91+S91+T91+U91+Y91</f>
        <v>0</v>
      </c>
      <c r="X91" s="5">
        <v>4339582.338</v>
      </c>
      <c r="Y91" s="5" t="str">
        <f>W91+X91</f>
        <v>0</v>
      </c>
      <c r="Z91" s="5">
        <v>0</v>
      </c>
      <c r="AA91" s="5" t="str">
        <f>Z91*D91</f>
        <v>0</v>
      </c>
      <c r="AB91" s="5">
        <v>0</v>
      </c>
      <c r="AC91" s="5" t="str">
        <f>AA91*AB91</f>
        <v>0</v>
      </c>
      <c r="AD91" s="5" t="str">
        <f>AC91-Y91</f>
        <v>0</v>
      </c>
      <c r="AE91" s="3" t="s">
        <v>111</v>
      </c>
      <c r="AF91" s="2"/>
    </row>
    <row r="92" spans="1:32">
      <c r="A92" s="3" t="s">
        <v>129</v>
      </c>
      <c r="B92" s="3" t="s">
        <v>135</v>
      </c>
      <c r="C92" s="3">
        <v>94</v>
      </c>
      <c r="D92" s="4">
        <v>17.935</v>
      </c>
      <c r="E92" s="4">
        <v>7.374</v>
      </c>
      <c r="F92" s="3"/>
      <c r="G92" s="5"/>
      <c r="H92" s="3"/>
      <c r="I92" s="5"/>
      <c r="J92" s="3"/>
      <c r="K92" s="5"/>
      <c r="L92" s="3"/>
      <c r="M92" s="5"/>
      <c r="N92" s="3"/>
      <c r="O92" s="5"/>
      <c r="P92" s="3"/>
      <c r="Q92" s="5"/>
      <c r="R92" s="3"/>
      <c r="S92" s="5"/>
      <c r="T92" s="5"/>
      <c r="U92" s="5">
        <v>0</v>
      </c>
      <c r="V92" s="5"/>
      <c r="W92" s="5" t="str">
        <f>G92+I92+K92+M92+O92+Q92+S92+T92+U92+Y92</f>
        <v>0</v>
      </c>
      <c r="X92" s="5">
        <v>22627107.258</v>
      </c>
      <c r="Y92" s="5" t="str">
        <f>W92+X92</f>
        <v>0</v>
      </c>
      <c r="Z92" s="5">
        <v>0</v>
      </c>
      <c r="AA92" s="5" t="str">
        <f>Z92*D92</f>
        <v>0</v>
      </c>
      <c r="AB92" s="5">
        <v>0</v>
      </c>
      <c r="AC92" s="5" t="str">
        <f>AA92*AB92</f>
        <v>0</v>
      </c>
      <c r="AD92" s="5" t="str">
        <f>AC92-Y92</f>
        <v>0</v>
      </c>
      <c r="AE92" s="3" t="s">
        <v>111</v>
      </c>
      <c r="AF92" s="2"/>
    </row>
    <row r="93" spans="1:32">
      <c r="A93" s="3" t="s">
        <v>129</v>
      </c>
      <c r="B93" s="3" t="s">
        <v>136</v>
      </c>
      <c r="C93" s="3">
        <v>45</v>
      </c>
      <c r="D93" s="4">
        <v>13.595</v>
      </c>
      <c r="E93" s="4">
        <v>11.602</v>
      </c>
      <c r="F93" s="3"/>
      <c r="G93" s="5"/>
      <c r="H93" s="3"/>
      <c r="I93" s="5"/>
      <c r="J93" s="3"/>
      <c r="K93" s="5"/>
      <c r="L93" s="3"/>
      <c r="M93" s="5"/>
      <c r="N93" s="3"/>
      <c r="O93" s="5"/>
      <c r="P93" s="3"/>
      <c r="Q93" s="5"/>
      <c r="R93" s="3"/>
      <c r="S93" s="5"/>
      <c r="T93" s="5"/>
      <c r="U93" s="5">
        <v>0</v>
      </c>
      <c r="V93" s="5"/>
      <c r="W93" s="5" t="str">
        <f>G93+I93+K93+M93+O93+Q93+S93+T93+U93+Y93</f>
        <v>0</v>
      </c>
      <c r="X93" s="5">
        <v>15685805.835</v>
      </c>
      <c r="Y93" s="5" t="str">
        <f>W93+X93</f>
        <v>0</v>
      </c>
      <c r="Z93" s="5">
        <v>0</v>
      </c>
      <c r="AA93" s="5" t="str">
        <f>Z93*D93</f>
        <v>0</v>
      </c>
      <c r="AB93" s="5">
        <v>0</v>
      </c>
      <c r="AC93" s="5" t="str">
        <f>AA93*AB93</f>
        <v>0</v>
      </c>
      <c r="AD93" s="5" t="str">
        <f>AC93-Y93</f>
        <v>0</v>
      </c>
      <c r="AE93" s="3" t="s">
        <v>111</v>
      </c>
      <c r="AF93" s="2"/>
    </row>
    <row r="94" spans="1:32">
      <c r="A94" s="3" t="s">
        <v>137</v>
      </c>
      <c r="B94" s="3" t="s">
        <v>138</v>
      </c>
      <c r="C94" s="3">
        <v>112</v>
      </c>
      <c r="D94" s="4">
        <v>18.196</v>
      </c>
      <c r="E94" s="4">
        <v>6.317</v>
      </c>
      <c r="F94" s="3"/>
      <c r="G94" s="5"/>
      <c r="H94" s="3"/>
      <c r="I94" s="5"/>
      <c r="J94" s="3"/>
      <c r="K94" s="5"/>
      <c r="L94" s="3"/>
      <c r="M94" s="5"/>
      <c r="N94" s="3"/>
      <c r="O94" s="5"/>
      <c r="P94" s="3"/>
      <c r="Q94" s="5"/>
      <c r="R94" s="3"/>
      <c r="S94" s="5"/>
      <c r="T94" s="5"/>
      <c r="U94" s="5">
        <v>0</v>
      </c>
      <c r="V94" s="5"/>
      <c r="W94" s="5" t="str">
        <f>G94+I94+K94+M94+O94+Q94+S94+T94+U94+Y94</f>
        <v>0</v>
      </c>
      <c r="X94" s="5">
        <v>20545803.264</v>
      </c>
      <c r="Y94" s="5" t="str">
        <f>W94+X94</f>
        <v>0</v>
      </c>
      <c r="Z94" s="5">
        <v>0</v>
      </c>
      <c r="AA94" s="5" t="str">
        <f>Z94*D94</f>
        <v>0</v>
      </c>
      <c r="AB94" s="5">
        <v>0</v>
      </c>
      <c r="AC94" s="5" t="str">
        <f>AA94*AB94</f>
        <v>0</v>
      </c>
      <c r="AD94" s="5" t="str">
        <f>AC94-Y94</f>
        <v>0</v>
      </c>
      <c r="AE94" s="3" t="s">
        <v>111</v>
      </c>
      <c r="AF94" s="2"/>
    </row>
    <row r="95" spans="1:32">
      <c r="A95" s="3" t="s">
        <v>137</v>
      </c>
      <c r="B95" s="3" t="s">
        <v>139</v>
      </c>
      <c r="C95" s="3">
        <v>65</v>
      </c>
      <c r="D95" s="4">
        <v>17.602</v>
      </c>
      <c r="E95" s="4">
        <v>10.441</v>
      </c>
      <c r="F95" s="3"/>
      <c r="G95" s="5"/>
      <c r="H95" s="3"/>
      <c r="I95" s="5"/>
      <c r="J95" s="3"/>
      <c r="K95" s="5"/>
      <c r="L95" s="3"/>
      <c r="M95" s="5"/>
      <c r="N95" s="3"/>
      <c r="O95" s="5"/>
      <c r="P95" s="3"/>
      <c r="Q95" s="5"/>
      <c r="R95" s="3"/>
      <c r="S95" s="5"/>
      <c r="T95" s="5"/>
      <c r="U95" s="5">
        <v>0</v>
      </c>
      <c r="V95" s="5"/>
      <c r="W95" s="5" t="str">
        <f>G95+I95+K95+M95+O95+Q95+S95+T95+U95+Y95</f>
        <v>0</v>
      </c>
      <c r="X95" s="5">
        <v>22858852.445</v>
      </c>
      <c r="Y95" s="5" t="str">
        <f>W95+X95</f>
        <v>0</v>
      </c>
      <c r="Z95" s="5">
        <v>0</v>
      </c>
      <c r="AA95" s="5" t="str">
        <f>Z95*D95</f>
        <v>0</v>
      </c>
      <c r="AB95" s="5">
        <v>0</v>
      </c>
      <c r="AC95" s="5" t="str">
        <f>AA95*AB95</f>
        <v>0</v>
      </c>
      <c r="AD95" s="5" t="str">
        <f>AC95-Y95</f>
        <v>0</v>
      </c>
      <c r="AE95" s="3" t="s">
        <v>111</v>
      </c>
      <c r="AF95" s="2"/>
    </row>
    <row r="96" spans="1:32">
      <c r="A96" s="3" t="s">
        <v>137</v>
      </c>
      <c r="B96" s="3" t="s">
        <v>140</v>
      </c>
      <c r="C96" s="3">
        <v>88</v>
      </c>
      <c r="D96" s="4">
        <v>4.425</v>
      </c>
      <c r="E96" s="4">
        <v>2.011</v>
      </c>
      <c r="F96" s="3"/>
      <c r="G96" s="5"/>
      <c r="H96" s="3"/>
      <c r="I96" s="5"/>
      <c r="J96" s="3"/>
      <c r="K96" s="5"/>
      <c r="L96" s="3"/>
      <c r="M96" s="5"/>
      <c r="N96" s="3"/>
      <c r="O96" s="5"/>
      <c r="P96" s="3"/>
      <c r="Q96" s="5"/>
      <c r="R96" s="3"/>
      <c r="S96" s="5"/>
      <c r="T96" s="5"/>
      <c r="U96" s="5">
        <v>0</v>
      </c>
      <c r="V96" s="5"/>
      <c r="W96" s="5" t="str">
        <f>G96+I96+K96+M96+O96+Q96+S96+T96+U96+Y96</f>
        <v>0</v>
      </c>
      <c r="X96" s="5">
        <v>4763980.584</v>
      </c>
      <c r="Y96" s="5" t="str">
        <f>W96+X96</f>
        <v>0</v>
      </c>
      <c r="Z96" s="5">
        <v>0</v>
      </c>
      <c r="AA96" s="5" t="str">
        <f>Z96*D96</f>
        <v>0</v>
      </c>
      <c r="AB96" s="5">
        <v>0</v>
      </c>
      <c r="AC96" s="5" t="str">
        <f>AA96*AB96</f>
        <v>0</v>
      </c>
      <c r="AD96" s="5" t="str">
        <f>AC96-Y96</f>
        <v>0</v>
      </c>
      <c r="AE96" s="3" t="s">
        <v>111</v>
      </c>
      <c r="AF96" s="2"/>
    </row>
    <row r="97" spans="1:32">
      <c r="A97" s="3" t="s">
        <v>137</v>
      </c>
      <c r="B97" s="3" t="s">
        <v>141</v>
      </c>
      <c r="C97" s="3">
        <v>48</v>
      </c>
      <c r="D97" s="4">
        <v>14.192</v>
      </c>
      <c r="E97" s="4">
        <v>11.362</v>
      </c>
      <c r="F97" s="3"/>
      <c r="G97" s="5"/>
      <c r="H97" s="3"/>
      <c r="I97" s="5"/>
      <c r="J97" s="3"/>
      <c r="K97" s="5"/>
      <c r="L97" s="3"/>
      <c r="M97" s="5"/>
      <c r="N97" s="3"/>
      <c r="O97" s="5"/>
      <c r="P97" s="3"/>
      <c r="Q97" s="5"/>
      <c r="R97" s="3"/>
      <c r="S97" s="5"/>
      <c r="T97" s="5"/>
      <c r="U97" s="5">
        <v>0</v>
      </c>
      <c r="V97" s="5"/>
      <c r="W97" s="5" t="str">
        <f>G97+I97+K97+M97+O97+Q97+S97+T97+U97+Y97</f>
        <v>0</v>
      </c>
      <c r="X97" s="5">
        <v>16880383.344</v>
      </c>
      <c r="Y97" s="5" t="str">
        <f>W97+X97</f>
        <v>0</v>
      </c>
      <c r="Z97" s="5">
        <v>0</v>
      </c>
      <c r="AA97" s="5" t="str">
        <f>Z97*D97</f>
        <v>0</v>
      </c>
      <c r="AB97" s="5">
        <v>0</v>
      </c>
      <c r="AC97" s="5" t="str">
        <f>AA97*AB97</f>
        <v>0</v>
      </c>
      <c r="AD97" s="5" t="str">
        <f>AC97-Y97</f>
        <v>0</v>
      </c>
      <c r="AE97" s="3" t="s">
        <v>111</v>
      </c>
      <c r="AF97" s="2"/>
    </row>
    <row r="98" spans="1:32">
      <c r="A98" s="3" t="s">
        <v>137</v>
      </c>
      <c r="B98" s="3" t="s">
        <v>142</v>
      </c>
      <c r="C98" s="3">
        <v>106</v>
      </c>
      <c r="D98" s="4">
        <v>18.179</v>
      </c>
      <c r="E98" s="4">
        <v>6.658</v>
      </c>
      <c r="F98" s="3"/>
      <c r="G98" s="5"/>
      <c r="H98" s="3"/>
      <c r="I98" s="5"/>
      <c r="J98" s="3"/>
      <c r="K98" s="5"/>
      <c r="L98" s="3"/>
      <c r="M98" s="5"/>
      <c r="N98" s="3"/>
      <c r="O98" s="5"/>
      <c r="P98" s="3"/>
      <c r="Q98" s="5"/>
      <c r="R98" s="3"/>
      <c r="S98" s="5"/>
      <c r="T98" s="5"/>
      <c r="U98" s="5">
        <v>0</v>
      </c>
      <c r="V98" s="5"/>
      <c r="W98" s="5" t="str">
        <f>G98+I98+K98+M98+O98+Q98+S98+T98+U98+Y98</f>
        <v>0</v>
      </c>
      <c r="X98" s="5">
        <v>19445135.232</v>
      </c>
      <c r="Y98" s="5" t="str">
        <f>W98+X98</f>
        <v>0</v>
      </c>
      <c r="Z98" s="5">
        <v>0</v>
      </c>
      <c r="AA98" s="5" t="str">
        <f>Z98*D98</f>
        <v>0</v>
      </c>
      <c r="AB98" s="5">
        <v>0</v>
      </c>
      <c r="AC98" s="5" t="str">
        <f>AA98*AB98</f>
        <v>0</v>
      </c>
      <c r="AD98" s="5" t="str">
        <f>AC98-Y98</f>
        <v>0</v>
      </c>
      <c r="AE98" s="3" t="s">
        <v>111</v>
      </c>
      <c r="AF98" s="2"/>
    </row>
    <row r="99" spans="1:32">
      <c r="A99" s="3" t="s">
        <v>137</v>
      </c>
      <c r="B99" s="3" t="s">
        <v>143</v>
      </c>
      <c r="C99" s="3">
        <v>318</v>
      </c>
      <c r="D99" s="4">
        <v>17.437</v>
      </c>
      <c r="E99" s="4">
        <v>2.184</v>
      </c>
      <c r="F99" s="3"/>
      <c r="G99" s="5"/>
      <c r="H99" s="3"/>
      <c r="I99" s="5"/>
      <c r="J99" s="3"/>
      <c r="K99" s="5"/>
      <c r="L99" s="3"/>
      <c r="M99" s="5"/>
      <c r="N99" s="3"/>
      <c r="O99" s="5"/>
      <c r="P99" s="3"/>
      <c r="Q99" s="5"/>
      <c r="R99" s="3"/>
      <c r="S99" s="5"/>
      <c r="T99" s="5"/>
      <c r="U99" s="5">
        <v>0</v>
      </c>
      <c r="V99" s="5"/>
      <c r="W99" s="5" t="str">
        <f>G99+I99+K99+M99+O99+Q99+S99+T99+U99+Y99</f>
        <v>0</v>
      </c>
      <c r="X99" s="5">
        <v>17215293.474</v>
      </c>
      <c r="Y99" s="5" t="str">
        <f>W99+X99</f>
        <v>0</v>
      </c>
      <c r="Z99" s="5">
        <v>0</v>
      </c>
      <c r="AA99" s="5" t="str">
        <f>Z99*D99</f>
        <v>0</v>
      </c>
      <c r="AB99" s="5">
        <v>0</v>
      </c>
      <c r="AC99" s="5" t="str">
        <f>AA99*AB99</f>
        <v>0</v>
      </c>
      <c r="AD99" s="5" t="str">
        <f>AC99-Y99</f>
        <v>0</v>
      </c>
      <c r="AE99" s="3" t="s">
        <v>111</v>
      </c>
      <c r="AF99" s="2"/>
    </row>
    <row r="100" spans="1:32">
      <c r="A100" s="3" t="s">
        <v>137</v>
      </c>
      <c r="B100" s="3" t="s">
        <v>144</v>
      </c>
      <c r="C100" s="3">
        <v>296</v>
      </c>
      <c r="D100" s="4">
        <v>17.477</v>
      </c>
      <c r="E100" s="4">
        <v>2.343</v>
      </c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3"/>
      <c r="Q100" s="5"/>
      <c r="R100" s="3"/>
      <c r="S100" s="5"/>
      <c r="T100" s="5"/>
      <c r="U100" s="5">
        <v>0</v>
      </c>
      <c r="V100" s="5"/>
      <c r="W100" s="5" t="str">
        <f>G100+I100+K100+M100+O100+Q100+S100+T100+U100+Y100</f>
        <v>0</v>
      </c>
      <c r="X100" s="5">
        <v>16024298.328</v>
      </c>
      <c r="Y100" s="5" t="str">
        <f>W100+X100</f>
        <v>0</v>
      </c>
      <c r="Z100" s="5">
        <v>0</v>
      </c>
      <c r="AA100" s="5" t="str">
        <f>Z100*D100</f>
        <v>0</v>
      </c>
      <c r="AB100" s="5">
        <v>0</v>
      </c>
      <c r="AC100" s="5" t="str">
        <f>AA100*AB100</f>
        <v>0</v>
      </c>
      <c r="AD100" s="5" t="str">
        <f>AC100-Y100</f>
        <v>0</v>
      </c>
      <c r="AE100" s="3" t="s">
        <v>111</v>
      </c>
      <c r="AF100" s="2"/>
    </row>
    <row r="101" spans="1:32">
      <c r="A101" s="3" t="s">
        <v>137</v>
      </c>
      <c r="B101" s="3" t="s">
        <v>145</v>
      </c>
      <c r="C101" s="3">
        <v>293</v>
      </c>
      <c r="D101" s="4">
        <v>17.396</v>
      </c>
      <c r="E101" s="4">
        <v>2.355</v>
      </c>
      <c r="F101" s="3"/>
      <c r="G101" s="5"/>
      <c r="H101" s="3"/>
      <c r="I101" s="5"/>
      <c r="J101" s="3"/>
      <c r="K101" s="5"/>
      <c r="L101" s="3"/>
      <c r="M101" s="5"/>
      <c r="N101" s="3"/>
      <c r="O101" s="5"/>
      <c r="P101" s="3"/>
      <c r="Q101" s="5"/>
      <c r="R101" s="3"/>
      <c r="S101" s="5"/>
      <c r="T101" s="5"/>
      <c r="U101" s="5">
        <v>0</v>
      </c>
      <c r="V101" s="5"/>
      <c r="W101" s="5" t="str">
        <f>G101+I101+K101+M101+O101+Q101+S101+T101+U101+Y101</f>
        <v>0</v>
      </c>
      <c r="X101" s="5">
        <v>15861889.899</v>
      </c>
      <c r="Y101" s="5" t="str">
        <f>W101+X101</f>
        <v>0</v>
      </c>
      <c r="Z101" s="5">
        <v>0</v>
      </c>
      <c r="AA101" s="5" t="str">
        <f>Z101*D101</f>
        <v>0</v>
      </c>
      <c r="AB101" s="5">
        <v>0</v>
      </c>
      <c r="AC101" s="5" t="str">
        <f>AA101*AB101</f>
        <v>0</v>
      </c>
      <c r="AD101" s="5" t="str">
        <f>AC101-Y101</f>
        <v>0</v>
      </c>
      <c r="AE101" s="3" t="s">
        <v>111</v>
      </c>
      <c r="AF101" s="2"/>
    </row>
    <row r="102" spans="1:32">
      <c r="A102" s="3" t="s">
        <v>146</v>
      </c>
      <c r="B102" s="3" t="s">
        <v>147</v>
      </c>
      <c r="C102" s="3">
        <v>56</v>
      </c>
      <c r="D102" s="4">
        <v>18.083</v>
      </c>
      <c r="E102" s="4">
        <v>12.39</v>
      </c>
      <c r="F102" s="3"/>
      <c r="G102" s="5"/>
      <c r="H102" s="3"/>
      <c r="I102" s="5"/>
      <c r="J102" s="3"/>
      <c r="K102" s="5"/>
      <c r="L102" s="3"/>
      <c r="M102" s="5"/>
      <c r="N102" s="3"/>
      <c r="O102" s="5"/>
      <c r="P102" s="3"/>
      <c r="Q102" s="5"/>
      <c r="R102" s="3"/>
      <c r="S102" s="5"/>
      <c r="T102" s="5"/>
      <c r="U102" s="5">
        <v>0</v>
      </c>
      <c r="V102" s="5"/>
      <c r="W102" s="5" t="str">
        <f>G102+I102+K102+M102+O102+Q102+S102+T102+U102+Y102</f>
        <v>0</v>
      </c>
      <c r="X102" s="5">
        <v>22746455.424</v>
      </c>
      <c r="Y102" s="5" t="str">
        <f>W102+X102</f>
        <v>0</v>
      </c>
      <c r="Z102" s="5">
        <v>0</v>
      </c>
      <c r="AA102" s="5" t="str">
        <f>Z102*D102</f>
        <v>0</v>
      </c>
      <c r="AB102" s="5">
        <v>0</v>
      </c>
      <c r="AC102" s="5" t="str">
        <f>AA102*AB102</f>
        <v>0</v>
      </c>
      <c r="AD102" s="5" t="str">
        <f>AC102-Y102</f>
        <v>0</v>
      </c>
      <c r="AE102" s="3" t="s">
        <v>111</v>
      </c>
      <c r="AF102" s="2"/>
    </row>
    <row r="103" spans="1:32">
      <c r="A103" s="3" t="s">
        <v>146</v>
      </c>
      <c r="B103" s="3" t="s">
        <v>148</v>
      </c>
      <c r="C103" s="3">
        <v>59</v>
      </c>
      <c r="D103" s="4">
        <v>18.006</v>
      </c>
      <c r="E103" s="4">
        <v>11.74</v>
      </c>
      <c r="F103" s="3"/>
      <c r="G103" s="5"/>
      <c r="H103" s="3"/>
      <c r="I103" s="5"/>
      <c r="J103" s="3"/>
      <c r="K103" s="5"/>
      <c r="L103" s="3"/>
      <c r="M103" s="5"/>
      <c r="N103" s="3"/>
      <c r="O103" s="5"/>
      <c r="P103" s="3"/>
      <c r="Q103" s="5"/>
      <c r="R103" s="3"/>
      <c r="S103" s="5"/>
      <c r="T103" s="5"/>
      <c r="U103" s="5">
        <v>0</v>
      </c>
      <c r="V103" s="5"/>
      <c r="W103" s="5" t="str">
        <f>G103+I103+K103+M103+O103+Q103+S103+T103+U103+Y103</f>
        <v>0</v>
      </c>
      <c r="X103" s="5">
        <v>23965015.536</v>
      </c>
      <c r="Y103" s="5" t="str">
        <f>W103+X103</f>
        <v>0</v>
      </c>
      <c r="Z103" s="5">
        <v>0</v>
      </c>
      <c r="AA103" s="5" t="str">
        <f>Z103*D103</f>
        <v>0</v>
      </c>
      <c r="AB103" s="5">
        <v>0</v>
      </c>
      <c r="AC103" s="5" t="str">
        <f>AA103*AB103</f>
        <v>0</v>
      </c>
      <c r="AD103" s="5" t="str">
        <f>AC103-Y103</f>
        <v>0</v>
      </c>
      <c r="AE103" s="3" t="s">
        <v>111</v>
      </c>
      <c r="AF103" s="2"/>
    </row>
    <row r="104" spans="1:32">
      <c r="A104" s="3" t="s">
        <v>146</v>
      </c>
      <c r="B104" s="3" t="s">
        <v>149</v>
      </c>
      <c r="C104" s="3">
        <v>108</v>
      </c>
      <c r="D104" s="4">
        <v>18.09</v>
      </c>
      <c r="E104" s="4">
        <v>6.514</v>
      </c>
      <c r="F104" s="3"/>
      <c r="G104" s="5"/>
      <c r="H104" s="3"/>
      <c r="I104" s="5"/>
      <c r="J104" s="3"/>
      <c r="K104" s="5"/>
      <c r="L104" s="3"/>
      <c r="M104" s="5"/>
      <c r="N104" s="3"/>
      <c r="O104" s="5"/>
      <c r="P104" s="3"/>
      <c r="Q104" s="5"/>
      <c r="R104" s="3"/>
      <c r="S104" s="5"/>
      <c r="T104" s="5"/>
      <c r="U104" s="5">
        <v>0</v>
      </c>
      <c r="V104" s="5"/>
      <c r="W104" s="5" t="str">
        <f>G104+I104+K104+M104+O104+Q104+S104+T104+U104+Y104</f>
        <v>0</v>
      </c>
      <c r="X104" s="5">
        <v>20470204.98</v>
      </c>
      <c r="Y104" s="5" t="str">
        <f>W104+X104</f>
        <v>0</v>
      </c>
      <c r="Z104" s="5">
        <v>0</v>
      </c>
      <c r="AA104" s="5" t="str">
        <f>Z104*D104</f>
        <v>0</v>
      </c>
      <c r="AB104" s="5">
        <v>0</v>
      </c>
      <c r="AC104" s="5" t="str">
        <f>AA104*AB104</f>
        <v>0</v>
      </c>
      <c r="AD104" s="5" t="str">
        <f>AC104-Y104</f>
        <v>0</v>
      </c>
      <c r="AE104" s="3" t="s">
        <v>111</v>
      </c>
      <c r="AF104" s="2"/>
    </row>
    <row r="105" spans="1:32">
      <c r="A105" s="3" t="s">
        <v>146</v>
      </c>
      <c r="B105" s="3" t="s">
        <v>150</v>
      </c>
      <c r="C105" s="3">
        <v>361</v>
      </c>
      <c r="D105" s="4">
        <v>17.425</v>
      </c>
      <c r="E105" s="4">
        <v>1.935</v>
      </c>
      <c r="F105" s="3"/>
      <c r="G105" s="5"/>
      <c r="H105" s="3"/>
      <c r="I105" s="5"/>
      <c r="J105" s="3"/>
      <c r="K105" s="5"/>
      <c r="L105" s="3"/>
      <c r="M105" s="5"/>
      <c r="N105" s="3"/>
      <c r="O105" s="5"/>
      <c r="P105" s="3"/>
      <c r="Q105" s="5"/>
      <c r="R105" s="3"/>
      <c r="S105" s="5"/>
      <c r="T105" s="5"/>
      <c r="U105" s="5">
        <v>0</v>
      </c>
      <c r="V105" s="5"/>
      <c r="W105" s="5" t="str">
        <f>G105+I105+K105+M105+O105+Q105+S105+T105+U105+Y105</f>
        <v>0</v>
      </c>
      <c r="X105" s="5">
        <v>19670960.034</v>
      </c>
      <c r="Y105" s="5" t="str">
        <f>W105+X105</f>
        <v>0</v>
      </c>
      <c r="Z105" s="5">
        <v>0</v>
      </c>
      <c r="AA105" s="5" t="str">
        <f>Z105*D105</f>
        <v>0</v>
      </c>
      <c r="AB105" s="5">
        <v>0</v>
      </c>
      <c r="AC105" s="5" t="str">
        <f>AA105*AB105</f>
        <v>0</v>
      </c>
      <c r="AD105" s="5" t="str">
        <f>AC105-Y105</f>
        <v>0</v>
      </c>
      <c r="AE105" s="3" t="s">
        <v>111</v>
      </c>
      <c r="AF105" s="2"/>
    </row>
    <row r="106" spans="1:32">
      <c r="A106" s="3" t="s">
        <v>146</v>
      </c>
      <c r="B106" s="3" t="s">
        <v>151</v>
      </c>
      <c r="C106" s="3">
        <v>115</v>
      </c>
      <c r="D106" s="4">
        <v>17.857</v>
      </c>
      <c r="E106" s="4">
        <v>6.047</v>
      </c>
      <c r="F106" s="3"/>
      <c r="G106" s="5"/>
      <c r="H106" s="3"/>
      <c r="I106" s="5"/>
      <c r="J106" s="3"/>
      <c r="K106" s="5"/>
      <c r="L106" s="3"/>
      <c r="M106" s="5"/>
      <c r="N106" s="3"/>
      <c r="O106" s="5"/>
      <c r="P106" s="3"/>
      <c r="Q106" s="5"/>
      <c r="R106" s="3"/>
      <c r="S106" s="5"/>
      <c r="T106" s="5"/>
      <c r="U106" s="5">
        <v>0</v>
      </c>
      <c r="V106" s="5"/>
      <c r="W106" s="5" t="str">
        <f>G106+I106+K106+M106+O106+Q106+S106+T106+U106+Y106</f>
        <v>0</v>
      </c>
      <c r="X106" s="5">
        <v>21796977.525</v>
      </c>
      <c r="Y106" s="5" t="str">
        <f>W106+X106</f>
        <v>0</v>
      </c>
      <c r="Z106" s="5">
        <v>0</v>
      </c>
      <c r="AA106" s="5" t="str">
        <f>Z106*D106</f>
        <v>0</v>
      </c>
      <c r="AB106" s="5">
        <v>0</v>
      </c>
      <c r="AC106" s="5" t="str">
        <f>AA106*AB106</f>
        <v>0</v>
      </c>
      <c r="AD106" s="5" t="str">
        <f>AC106-Y106</f>
        <v>0</v>
      </c>
      <c r="AE106" s="3" t="s">
        <v>111</v>
      </c>
      <c r="AF106" s="2"/>
    </row>
    <row r="107" spans="1:32">
      <c r="A107" s="3" t="s">
        <v>146</v>
      </c>
      <c r="B107" s="3" t="s">
        <v>152</v>
      </c>
      <c r="C107" s="3">
        <v>297</v>
      </c>
      <c r="D107" s="4">
        <v>17.573</v>
      </c>
      <c r="E107" s="4">
        <v>2.348</v>
      </c>
      <c r="F107" s="3"/>
      <c r="G107" s="5"/>
      <c r="H107" s="3"/>
      <c r="I107" s="5"/>
      <c r="J107" s="3"/>
      <c r="K107" s="5"/>
      <c r="L107" s="3"/>
      <c r="M107" s="5"/>
      <c r="N107" s="3"/>
      <c r="O107" s="5"/>
      <c r="P107" s="3"/>
      <c r="Q107" s="5"/>
      <c r="R107" s="3"/>
      <c r="S107" s="5"/>
      <c r="T107" s="5"/>
      <c r="U107" s="5">
        <v>0</v>
      </c>
      <c r="V107" s="5"/>
      <c r="W107" s="5" t="str">
        <f>G107+I107+K107+M107+O107+Q107+S107+T107+U107+Y107</f>
        <v>0</v>
      </c>
      <c r="X107" s="5">
        <v>16183587.618</v>
      </c>
      <c r="Y107" s="5" t="str">
        <f>W107+X107</f>
        <v>0</v>
      </c>
      <c r="Z107" s="5">
        <v>0</v>
      </c>
      <c r="AA107" s="5" t="str">
        <f>Z107*D107</f>
        <v>0</v>
      </c>
      <c r="AB107" s="5">
        <v>0</v>
      </c>
      <c r="AC107" s="5" t="str">
        <f>AA107*AB107</f>
        <v>0</v>
      </c>
      <c r="AD107" s="5" t="str">
        <f>AC107-Y107</f>
        <v>0</v>
      </c>
      <c r="AE107" s="3" t="s">
        <v>111</v>
      </c>
      <c r="AF107" s="2"/>
    </row>
    <row r="108" spans="1:32">
      <c r="A108" s="3" t="s">
        <v>146</v>
      </c>
      <c r="B108" s="3" t="s">
        <v>153</v>
      </c>
      <c r="C108" s="3">
        <v>390</v>
      </c>
      <c r="D108" s="4">
        <v>17.31</v>
      </c>
      <c r="E108" s="4">
        <v>1.786</v>
      </c>
      <c r="F108" s="3"/>
      <c r="G108" s="5"/>
      <c r="H108" s="3"/>
      <c r="I108" s="5"/>
      <c r="J108" s="3"/>
      <c r="K108" s="5"/>
      <c r="L108" s="3"/>
      <c r="M108" s="5"/>
      <c r="N108" s="3"/>
      <c r="O108" s="5"/>
      <c r="P108" s="3"/>
      <c r="Q108" s="5"/>
      <c r="R108" s="3"/>
      <c r="S108" s="5"/>
      <c r="T108" s="5"/>
      <c r="U108" s="5">
        <v>0</v>
      </c>
      <c r="V108" s="5"/>
      <c r="W108" s="5" t="str">
        <f>G108+I108+K108+M108+O108+Q108+S108+T108+U108+Y108</f>
        <v>0</v>
      </c>
      <c r="X108" s="5">
        <v>21251175.66</v>
      </c>
      <c r="Y108" s="5" t="str">
        <f>W108+X108</f>
        <v>0</v>
      </c>
      <c r="Z108" s="5">
        <v>0</v>
      </c>
      <c r="AA108" s="5" t="str">
        <f>Z108*D108</f>
        <v>0</v>
      </c>
      <c r="AB108" s="5">
        <v>0</v>
      </c>
      <c r="AC108" s="5" t="str">
        <f>AA108*AB108</f>
        <v>0</v>
      </c>
      <c r="AD108" s="5" t="str">
        <f>AC108-Y108</f>
        <v>0</v>
      </c>
      <c r="AE108" s="3" t="s">
        <v>111</v>
      </c>
      <c r="AF108" s="2"/>
    </row>
    <row r="109" spans="1:32">
      <c r="A109" s="3" t="s">
        <v>146</v>
      </c>
      <c r="B109" s="3" t="s">
        <v>154</v>
      </c>
      <c r="C109" s="3">
        <v>298</v>
      </c>
      <c r="D109" s="4">
        <v>17.856</v>
      </c>
      <c r="E109" s="4">
        <v>2.376</v>
      </c>
      <c r="F109" s="3"/>
      <c r="G109" s="5"/>
      <c r="H109" s="3"/>
      <c r="I109" s="5"/>
      <c r="J109" s="3"/>
      <c r="K109" s="5"/>
      <c r="L109" s="3"/>
      <c r="M109" s="5"/>
      <c r="N109" s="3"/>
      <c r="O109" s="5"/>
      <c r="P109" s="3"/>
      <c r="Q109" s="5"/>
      <c r="R109" s="3"/>
      <c r="S109" s="5"/>
      <c r="T109" s="5"/>
      <c r="U109" s="5">
        <v>0</v>
      </c>
      <c r="V109" s="5"/>
      <c r="W109" s="5" t="str">
        <f>G109+I109+K109+M109+O109+Q109+S109+T109+U109+Y109</f>
        <v>0</v>
      </c>
      <c r="X109" s="5">
        <v>16238077.812</v>
      </c>
      <c r="Y109" s="5" t="str">
        <f>W109+X109</f>
        <v>0</v>
      </c>
      <c r="Z109" s="5">
        <v>0</v>
      </c>
      <c r="AA109" s="5" t="str">
        <f>Z109*D109</f>
        <v>0</v>
      </c>
      <c r="AB109" s="5">
        <v>0</v>
      </c>
      <c r="AC109" s="5" t="str">
        <f>AA109*AB109</f>
        <v>0</v>
      </c>
      <c r="AD109" s="5" t="str">
        <f>AC109-Y109</f>
        <v>0</v>
      </c>
      <c r="AE109" s="3" t="s">
        <v>111</v>
      </c>
      <c r="AF109" s="2"/>
    </row>
    <row r="110" spans="1:32">
      <c r="A110" s="3" t="s">
        <v>146</v>
      </c>
      <c r="B110" s="3" t="s">
        <v>155</v>
      </c>
      <c r="C110" s="3">
        <v>101</v>
      </c>
      <c r="D110" s="4">
        <v>18.457</v>
      </c>
      <c r="E110" s="4">
        <v>7.085</v>
      </c>
      <c r="F110" s="3"/>
      <c r="G110" s="5"/>
      <c r="H110" s="3"/>
      <c r="I110" s="5"/>
      <c r="J110" s="3"/>
      <c r="K110" s="5"/>
      <c r="L110" s="3"/>
      <c r="M110" s="5"/>
      <c r="N110" s="3"/>
      <c r="O110" s="5"/>
      <c r="P110" s="3"/>
      <c r="Q110" s="5"/>
      <c r="R110" s="3"/>
      <c r="S110" s="5"/>
      <c r="T110" s="5"/>
      <c r="U110" s="5">
        <v>0</v>
      </c>
      <c r="V110" s="5"/>
      <c r="W110" s="5" t="str">
        <f>G110+I110+K110+M110+O110+Q110+S110+T110+U110+Y110</f>
        <v>0</v>
      </c>
      <c r="X110" s="5">
        <v>19143432.435</v>
      </c>
      <c r="Y110" s="5" t="str">
        <f>W110+X110</f>
        <v>0</v>
      </c>
      <c r="Z110" s="5">
        <v>0</v>
      </c>
      <c r="AA110" s="5" t="str">
        <f>Z110*D110</f>
        <v>0</v>
      </c>
      <c r="AB110" s="5">
        <v>0</v>
      </c>
      <c r="AC110" s="5" t="str">
        <f>AA110*AB110</f>
        <v>0</v>
      </c>
      <c r="AD110" s="5" t="str">
        <f>AC110-Y110</f>
        <v>0</v>
      </c>
      <c r="AE110" s="3" t="s">
        <v>111</v>
      </c>
      <c r="AF110" s="2"/>
    </row>
    <row r="111" spans="1:32">
      <c r="A111" s="3" t="s">
        <v>146</v>
      </c>
      <c r="B111" s="3" t="s">
        <v>156</v>
      </c>
      <c r="C111" s="3">
        <v>345</v>
      </c>
      <c r="D111" s="4">
        <v>17.723</v>
      </c>
      <c r="E111" s="4">
        <v>2.052</v>
      </c>
      <c r="F111" s="3"/>
      <c r="G111" s="5"/>
      <c r="H111" s="3"/>
      <c r="I111" s="5"/>
      <c r="J111" s="3"/>
      <c r="K111" s="5"/>
      <c r="L111" s="3"/>
      <c r="M111" s="5"/>
      <c r="N111" s="3"/>
      <c r="O111" s="5"/>
      <c r="P111" s="3"/>
      <c r="Q111" s="5"/>
      <c r="R111" s="3"/>
      <c r="S111" s="5"/>
      <c r="T111" s="5"/>
      <c r="U111" s="5">
        <v>0</v>
      </c>
      <c r="V111" s="5"/>
      <c r="W111" s="5" t="str">
        <f>G111+I111+K111+M111+O111+Q111+S111+T111+U111+Y111</f>
        <v>0</v>
      </c>
      <c r="X111" s="5">
        <v>18799116.93</v>
      </c>
      <c r="Y111" s="5" t="str">
        <f>W111+X111</f>
        <v>0</v>
      </c>
      <c r="Z111" s="5">
        <v>0</v>
      </c>
      <c r="AA111" s="5" t="str">
        <f>Z111*D111</f>
        <v>0</v>
      </c>
      <c r="AB111" s="5">
        <v>0</v>
      </c>
      <c r="AC111" s="5" t="str">
        <f>AA111*AB111</f>
        <v>0</v>
      </c>
      <c r="AD111" s="5" t="str">
        <f>AC111-Y111</f>
        <v>0</v>
      </c>
      <c r="AE111" s="3" t="s">
        <v>111</v>
      </c>
      <c r="AF111" s="2"/>
    </row>
    <row r="112" spans="1:32">
      <c r="A112" s="3" t="s">
        <v>157</v>
      </c>
      <c r="B112" s="3" t="s">
        <v>158</v>
      </c>
      <c r="C112" s="3">
        <v>62</v>
      </c>
      <c r="D112" s="4">
        <v>17.316</v>
      </c>
      <c r="E112" s="4">
        <v>10.762</v>
      </c>
      <c r="F112" s="3"/>
      <c r="G112" s="5"/>
      <c r="H112" s="3"/>
      <c r="I112" s="5"/>
      <c r="J112" s="3"/>
      <c r="K112" s="5"/>
      <c r="L112" s="3"/>
      <c r="M112" s="5"/>
      <c r="N112" s="3"/>
      <c r="O112" s="5"/>
      <c r="P112" s="3"/>
      <c r="Q112" s="5"/>
      <c r="R112" s="3"/>
      <c r="S112" s="5"/>
      <c r="T112" s="5"/>
      <c r="U112" s="5">
        <v>0</v>
      </c>
      <c r="V112" s="5"/>
      <c r="W112" s="5" t="str">
        <f>G112+I112+K112+M112+O112+Q112+S112+T112+U112+Y112</f>
        <v>0</v>
      </c>
      <c r="X112" s="5">
        <v>27209957.484</v>
      </c>
      <c r="Y112" s="5" t="str">
        <f>W112+X112</f>
        <v>0</v>
      </c>
      <c r="Z112" s="5">
        <v>0</v>
      </c>
      <c r="AA112" s="5" t="str">
        <f>Z112*D112</f>
        <v>0</v>
      </c>
      <c r="AB112" s="5">
        <v>0</v>
      </c>
      <c r="AC112" s="5" t="str">
        <f>AA112*AB112</f>
        <v>0</v>
      </c>
      <c r="AD112" s="5" t="str">
        <f>AC112-Y112</f>
        <v>0</v>
      </c>
      <c r="AE112" s="3" t="s">
        <v>111</v>
      </c>
      <c r="AF112" s="2"/>
    </row>
    <row r="113" spans="1:32">
      <c r="A113" s="3" t="s">
        <v>157</v>
      </c>
      <c r="B113" s="3" t="s">
        <v>159</v>
      </c>
      <c r="C113" s="3">
        <v>49</v>
      </c>
      <c r="D113" s="4">
        <v>18.296</v>
      </c>
      <c r="E113" s="4">
        <v>14.262</v>
      </c>
      <c r="F113" s="3"/>
      <c r="G113" s="5"/>
      <c r="H113" s="3"/>
      <c r="I113" s="5"/>
      <c r="J113" s="3"/>
      <c r="K113" s="5"/>
      <c r="L113" s="3"/>
      <c r="M113" s="5"/>
      <c r="N113" s="3"/>
      <c r="O113" s="5"/>
      <c r="P113" s="3"/>
      <c r="Q113" s="5"/>
      <c r="R113" s="3"/>
      <c r="S113" s="5"/>
      <c r="T113" s="5"/>
      <c r="U113" s="5">
        <v>0</v>
      </c>
      <c r="V113" s="5"/>
      <c r="W113" s="5" t="str">
        <f>G113+I113+K113+M113+O113+Q113+S113+T113+U113+Y113</f>
        <v>0</v>
      </c>
      <c r="X113" s="5">
        <v>21504643.818</v>
      </c>
      <c r="Y113" s="5" t="str">
        <f>W113+X113</f>
        <v>0</v>
      </c>
      <c r="Z113" s="5">
        <v>0</v>
      </c>
      <c r="AA113" s="5" t="str">
        <f>Z113*D113</f>
        <v>0</v>
      </c>
      <c r="AB113" s="5">
        <v>0</v>
      </c>
      <c r="AC113" s="5" t="str">
        <f>AA113*AB113</f>
        <v>0</v>
      </c>
      <c r="AD113" s="5" t="str">
        <f>AC113-Y113</f>
        <v>0</v>
      </c>
      <c r="AE113" s="3" t="s">
        <v>111</v>
      </c>
      <c r="AF113" s="2"/>
    </row>
    <row r="114" spans="1:32">
      <c r="A114" s="3" t="s">
        <v>157</v>
      </c>
      <c r="B114" s="3" t="s">
        <v>160</v>
      </c>
      <c r="C114" s="3">
        <v>77</v>
      </c>
      <c r="D114" s="4">
        <v>3.121</v>
      </c>
      <c r="E114" s="4">
        <v>1.639</v>
      </c>
      <c r="F114" s="3"/>
      <c r="G114" s="5"/>
      <c r="H114" s="3"/>
      <c r="I114" s="5"/>
      <c r="J114" s="3"/>
      <c r="K114" s="5"/>
      <c r="L114" s="3"/>
      <c r="M114" s="5"/>
      <c r="N114" s="3"/>
      <c r="O114" s="5"/>
      <c r="P114" s="3"/>
      <c r="Q114" s="5"/>
      <c r="R114" s="3"/>
      <c r="S114" s="5"/>
      <c r="T114" s="5"/>
      <c r="U114" s="5">
        <v>0</v>
      </c>
      <c r="V114" s="5"/>
      <c r="W114" s="5" t="str">
        <f>G114+I114+K114+M114+O114+Q114+S114+T114+U114+Y114</f>
        <v>0</v>
      </c>
      <c r="X114" s="5">
        <v>3202620.267</v>
      </c>
      <c r="Y114" s="5" t="str">
        <f>W114+X114</f>
        <v>0</v>
      </c>
      <c r="Z114" s="5">
        <v>0</v>
      </c>
      <c r="AA114" s="5" t="str">
        <f>Z114*D114</f>
        <v>0</v>
      </c>
      <c r="AB114" s="5">
        <v>0</v>
      </c>
      <c r="AC114" s="5" t="str">
        <f>AA114*AB114</f>
        <v>0</v>
      </c>
      <c r="AD114" s="5" t="str">
        <f>AC114-Y114</f>
        <v>0</v>
      </c>
      <c r="AE114" s="3" t="s">
        <v>111</v>
      </c>
      <c r="AF114" s="2"/>
    </row>
    <row r="115" spans="1:32">
      <c r="A115" s="3" t="s">
        <v>157</v>
      </c>
      <c r="B115" s="3" t="s">
        <v>161</v>
      </c>
      <c r="C115" s="3">
        <v>62</v>
      </c>
      <c r="D115" s="4">
        <v>14.748</v>
      </c>
      <c r="E115" s="4">
        <v>9.194</v>
      </c>
      <c r="F115" s="3"/>
      <c r="G115" s="5"/>
      <c r="H115" s="3"/>
      <c r="I115" s="5"/>
      <c r="J115" s="3"/>
      <c r="K115" s="5"/>
      <c r="L115" s="3"/>
      <c r="M115" s="5"/>
      <c r="N115" s="3"/>
      <c r="O115" s="5"/>
      <c r="P115" s="3"/>
      <c r="Q115" s="5"/>
      <c r="R115" s="3"/>
      <c r="S115" s="5"/>
      <c r="T115" s="5"/>
      <c r="U115" s="5">
        <v>0</v>
      </c>
      <c r="V115" s="5"/>
      <c r="W115" s="5" t="str">
        <f>G115+I115+K115+M115+O115+Q115+S115+T115+U115+Y115</f>
        <v>0</v>
      </c>
      <c r="X115" s="5">
        <v>27209957.484</v>
      </c>
      <c r="Y115" s="5" t="str">
        <f>W115+X115</f>
        <v>0</v>
      </c>
      <c r="Z115" s="5">
        <v>0</v>
      </c>
      <c r="AA115" s="5" t="str">
        <f>Z115*D115</f>
        <v>0</v>
      </c>
      <c r="AB115" s="5">
        <v>0</v>
      </c>
      <c r="AC115" s="5" t="str">
        <f>AA115*AB115</f>
        <v>0</v>
      </c>
      <c r="AD115" s="5" t="str">
        <f>AC115-Y115</f>
        <v>0</v>
      </c>
      <c r="AE115" s="3" t="s">
        <v>111</v>
      </c>
      <c r="AF115" s="2"/>
    </row>
    <row r="116" spans="1:32">
      <c r="A116" s="3" t="s">
        <v>157</v>
      </c>
      <c r="B116" s="3" t="s">
        <v>162</v>
      </c>
      <c r="C116" s="3">
        <v>330</v>
      </c>
      <c r="D116" s="4">
        <v>17.755</v>
      </c>
      <c r="E116" s="4">
        <v>2.146</v>
      </c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3"/>
      <c r="Q116" s="5"/>
      <c r="R116" s="3"/>
      <c r="S116" s="5"/>
      <c r="T116" s="5"/>
      <c r="U116" s="5">
        <v>0</v>
      </c>
      <c r="V116" s="5"/>
      <c r="W116" s="5" t="str">
        <f>G116+I116+K116+M116+O116+Q116+S116+T116+U116+Y116</f>
        <v>0</v>
      </c>
      <c r="X116" s="5">
        <v>13725515.43</v>
      </c>
      <c r="Y116" s="5" t="str">
        <f>W116+X116</f>
        <v>0</v>
      </c>
      <c r="Z116" s="5">
        <v>0</v>
      </c>
      <c r="AA116" s="5" t="str">
        <f>Z116*D116</f>
        <v>0</v>
      </c>
      <c r="AB116" s="5">
        <v>0</v>
      </c>
      <c r="AC116" s="5" t="str">
        <f>AA116*AB116</f>
        <v>0</v>
      </c>
      <c r="AD116" s="5" t="str">
        <f>AC116-Y116</f>
        <v>0</v>
      </c>
      <c r="AE116" s="3" t="s">
        <v>111</v>
      </c>
      <c r="AF116" s="2"/>
    </row>
    <row r="117" spans="1:32">
      <c r="A117" s="3" t="s">
        <v>157</v>
      </c>
      <c r="B117" s="3" t="s">
        <v>163</v>
      </c>
      <c r="C117" s="3">
        <v>346</v>
      </c>
      <c r="D117" s="4">
        <v>17.79</v>
      </c>
      <c r="E117" s="4">
        <v>2.054</v>
      </c>
      <c r="F117" s="3"/>
      <c r="G117" s="5"/>
      <c r="H117" s="3"/>
      <c r="I117" s="5"/>
      <c r="J117" s="3"/>
      <c r="K117" s="5"/>
      <c r="L117" s="3"/>
      <c r="M117" s="5"/>
      <c r="N117" s="3"/>
      <c r="O117" s="5"/>
      <c r="P117" s="3"/>
      <c r="Q117" s="5"/>
      <c r="R117" s="3"/>
      <c r="S117" s="5"/>
      <c r="T117" s="5"/>
      <c r="U117" s="5">
        <v>0</v>
      </c>
      <c r="V117" s="5"/>
      <c r="W117" s="5" t="str">
        <f>G117+I117+K117+M117+O117+Q117+S117+T117+U117+Y117</f>
        <v>0</v>
      </c>
      <c r="X117" s="5">
        <v>14390994.966</v>
      </c>
      <c r="Y117" s="5" t="str">
        <f>W117+X117</f>
        <v>0</v>
      </c>
      <c r="Z117" s="5">
        <v>0</v>
      </c>
      <c r="AA117" s="5" t="str">
        <f>Z117*D117</f>
        <v>0</v>
      </c>
      <c r="AB117" s="5">
        <v>0</v>
      </c>
      <c r="AC117" s="5" t="str">
        <f>AA117*AB117</f>
        <v>0</v>
      </c>
      <c r="AD117" s="5" t="str">
        <f>AC117-Y117</f>
        <v>0</v>
      </c>
      <c r="AE117" s="3" t="s">
        <v>111</v>
      </c>
      <c r="AF117" s="2"/>
    </row>
    <row r="118" spans="1:32">
      <c r="A118" s="3" t="s">
        <v>157</v>
      </c>
      <c r="B118" s="3" t="s">
        <v>164</v>
      </c>
      <c r="C118" s="3">
        <v>344</v>
      </c>
      <c r="D118" s="4">
        <v>17.665</v>
      </c>
      <c r="E118" s="4">
        <v>2.051</v>
      </c>
      <c r="F118" s="3"/>
      <c r="G118" s="5"/>
      <c r="H118" s="3"/>
      <c r="I118" s="5"/>
      <c r="J118" s="3"/>
      <c r="K118" s="5"/>
      <c r="L118" s="3"/>
      <c r="M118" s="5"/>
      <c r="N118" s="3"/>
      <c r="O118" s="5"/>
      <c r="P118" s="3"/>
      <c r="Q118" s="5"/>
      <c r="R118" s="3"/>
      <c r="S118" s="5"/>
      <c r="T118" s="5"/>
      <c r="U118" s="5">
        <v>0</v>
      </c>
      <c r="V118" s="5"/>
      <c r="W118" s="5" t="str">
        <f>G118+I118+K118+M118+O118+Q118+S118+T118+U118+Y118</f>
        <v>0</v>
      </c>
      <c r="X118" s="5">
        <v>14307810.024</v>
      </c>
      <c r="Y118" s="5" t="str">
        <f>W118+X118</f>
        <v>0</v>
      </c>
      <c r="Z118" s="5">
        <v>0</v>
      </c>
      <c r="AA118" s="5" t="str">
        <f>Z118*D118</f>
        <v>0</v>
      </c>
      <c r="AB118" s="5">
        <v>0</v>
      </c>
      <c r="AC118" s="5" t="str">
        <f>AA118*AB118</f>
        <v>0</v>
      </c>
      <c r="AD118" s="5" t="str">
        <f>AC118-Y118</f>
        <v>0</v>
      </c>
      <c r="AE118" s="3" t="s">
        <v>111</v>
      </c>
      <c r="AF118" s="2"/>
    </row>
    <row r="119" spans="1:32">
      <c r="A119" s="3" t="s">
        <v>157</v>
      </c>
      <c r="B119" s="3" t="s">
        <v>165</v>
      </c>
      <c r="C119" s="3">
        <v>51</v>
      </c>
      <c r="D119" s="4">
        <v>18.249</v>
      </c>
      <c r="E119" s="4">
        <v>13.698</v>
      </c>
      <c r="F119" s="3"/>
      <c r="G119" s="5"/>
      <c r="H119" s="3"/>
      <c r="I119" s="5"/>
      <c r="J119" s="3"/>
      <c r="K119" s="5"/>
      <c r="L119" s="3"/>
      <c r="M119" s="5"/>
      <c r="N119" s="3"/>
      <c r="O119" s="5"/>
      <c r="P119" s="3"/>
      <c r="Q119" s="5"/>
      <c r="R119" s="3"/>
      <c r="S119" s="5"/>
      <c r="T119" s="5"/>
      <c r="U119" s="5">
        <v>0</v>
      </c>
      <c r="V119" s="5"/>
      <c r="W119" s="5" t="str">
        <f>G119+I119+K119+M119+O119+Q119+S119+T119+U119+Y119</f>
        <v>0</v>
      </c>
      <c r="X119" s="5">
        <v>22382384.382</v>
      </c>
      <c r="Y119" s="5" t="str">
        <f>W119+X119</f>
        <v>0</v>
      </c>
      <c r="Z119" s="5">
        <v>0</v>
      </c>
      <c r="AA119" s="5" t="str">
        <f>Z119*D119</f>
        <v>0</v>
      </c>
      <c r="AB119" s="5">
        <v>0</v>
      </c>
      <c r="AC119" s="5" t="str">
        <f>AA119*AB119</f>
        <v>0</v>
      </c>
      <c r="AD119" s="5" t="str">
        <f>AC119-Y119</f>
        <v>0</v>
      </c>
      <c r="AE119" s="3" t="s">
        <v>111</v>
      </c>
      <c r="AF119" s="2"/>
    </row>
    <row r="120" spans="1:32">
      <c r="A120" s="3" t="s">
        <v>157</v>
      </c>
      <c r="B120" s="3" t="s">
        <v>166</v>
      </c>
      <c r="C120" s="3">
        <v>364</v>
      </c>
      <c r="D120" s="4">
        <v>17.428</v>
      </c>
      <c r="E120" s="4">
        <v>1.921</v>
      </c>
      <c r="F120" s="3"/>
      <c r="G120" s="5"/>
      <c r="H120" s="3"/>
      <c r="I120" s="5"/>
      <c r="J120" s="3"/>
      <c r="K120" s="5"/>
      <c r="L120" s="3"/>
      <c r="M120" s="5"/>
      <c r="N120" s="3"/>
      <c r="O120" s="5"/>
      <c r="P120" s="3"/>
      <c r="Q120" s="5"/>
      <c r="R120" s="3"/>
      <c r="S120" s="5"/>
      <c r="T120" s="5"/>
      <c r="U120" s="5">
        <v>0</v>
      </c>
      <c r="V120" s="5"/>
      <c r="W120" s="5" t="str">
        <f>G120+I120+K120+M120+O120+Q120+S120+T120+U120+Y120</f>
        <v>0</v>
      </c>
      <c r="X120" s="5">
        <v>15139659.444</v>
      </c>
      <c r="Y120" s="5" t="str">
        <f>W120+X120</f>
        <v>0</v>
      </c>
      <c r="Z120" s="5">
        <v>0</v>
      </c>
      <c r="AA120" s="5" t="str">
        <f>Z120*D120</f>
        <v>0</v>
      </c>
      <c r="AB120" s="5">
        <v>0</v>
      </c>
      <c r="AC120" s="5" t="str">
        <f>AA120*AB120</f>
        <v>0</v>
      </c>
      <c r="AD120" s="5" t="str">
        <f>AC120-Y120</f>
        <v>0</v>
      </c>
      <c r="AE120" s="3" t="s">
        <v>111</v>
      </c>
      <c r="AF120" s="2"/>
    </row>
    <row r="121" spans="1:32">
      <c r="A121" s="3" t="s">
        <v>167</v>
      </c>
      <c r="B121" s="3" t="s">
        <v>168</v>
      </c>
      <c r="C121" s="3">
        <v>107</v>
      </c>
      <c r="D121" s="4">
        <v>17.904</v>
      </c>
      <c r="E121" s="4">
        <v>6.509</v>
      </c>
      <c r="F121" s="3"/>
      <c r="G121" s="5"/>
      <c r="H121" s="3"/>
      <c r="I121" s="5"/>
      <c r="J121" s="3"/>
      <c r="K121" s="5"/>
      <c r="L121" s="3"/>
      <c r="M121" s="5"/>
      <c r="N121" s="3"/>
      <c r="O121" s="5"/>
      <c r="P121" s="3"/>
      <c r="Q121" s="5"/>
      <c r="R121" s="3"/>
      <c r="S121" s="5"/>
      <c r="T121" s="5"/>
      <c r="U121" s="5">
        <v>0</v>
      </c>
      <c r="V121" s="5"/>
      <c r="W121" s="5" t="str">
        <f>G121+I121+K121+M121+O121+Q121+S121+T121+U121+Y121</f>
        <v>0</v>
      </c>
      <c r="X121" s="5">
        <v>25152176.276</v>
      </c>
      <c r="Y121" s="5" t="str">
        <f>W121+X121</f>
        <v>0</v>
      </c>
      <c r="Z121" s="5">
        <v>0</v>
      </c>
      <c r="AA121" s="5" t="str">
        <f>Z121*D121</f>
        <v>0</v>
      </c>
      <c r="AB121" s="5">
        <v>0</v>
      </c>
      <c r="AC121" s="5" t="str">
        <f>AA121*AB121</f>
        <v>0</v>
      </c>
      <c r="AD121" s="5" t="str">
        <f>AC121-Y121</f>
        <v>0</v>
      </c>
      <c r="AE121" s="3" t="s">
        <v>169</v>
      </c>
      <c r="AF121" s="2"/>
    </row>
    <row r="122" spans="1:32">
      <c r="A122" s="3" t="s">
        <v>167</v>
      </c>
      <c r="B122" s="3" t="s">
        <v>170</v>
      </c>
      <c r="C122" s="3">
        <v>357</v>
      </c>
      <c r="D122" s="4">
        <v>17.832</v>
      </c>
      <c r="E122" s="4">
        <v>1.999</v>
      </c>
      <c r="F122" s="3"/>
      <c r="G122" s="5"/>
      <c r="H122" s="3"/>
      <c r="I122" s="5"/>
      <c r="J122" s="3"/>
      <c r="K122" s="5"/>
      <c r="L122" s="3"/>
      <c r="M122" s="5"/>
      <c r="N122" s="3"/>
      <c r="O122" s="5"/>
      <c r="P122" s="3"/>
      <c r="Q122" s="5"/>
      <c r="R122" s="3"/>
      <c r="S122" s="5"/>
      <c r="T122" s="5"/>
      <c r="U122" s="5">
        <v>0</v>
      </c>
      <c r="V122" s="5"/>
      <c r="W122" s="5" t="str">
        <f>G122+I122+K122+M122+O122+Q122+S122+T122+U122+Y122</f>
        <v>0</v>
      </c>
      <c r="X122" s="5">
        <v>21799693.062</v>
      </c>
      <c r="Y122" s="5" t="str">
        <f>W122+X122</f>
        <v>0</v>
      </c>
      <c r="Z122" s="5">
        <v>0</v>
      </c>
      <c r="AA122" s="5" t="str">
        <f>Z122*D122</f>
        <v>0</v>
      </c>
      <c r="AB122" s="5">
        <v>0</v>
      </c>
      <c r="AC122" s="5" t="str">
        <f>AA122*AB122</f>
        <v>0</v>
      </c>
      <c r="AD122" s="5" t="str">
        <f>AC122-Y122</f>
        <v>0</v>
      </c>
      <c r="AE122" s="3" t="s">
        <v>169</v>
      </c>
      <c r="AF122" s="2"/>
    </row>
    <row r="123" spans="1:32">
      <c r="A123" s="3" t="s">
        <v>167</v>
      </c>
      <c r="B123" s="3" t="s">
        <v>171</v>
      </c>
      <c r="C123" s="3">
        <v>329</v>
      </c>
      <c r="D123" s="4">
        <v>17.478</v>
      </c>
      <c r="E123" s="4">
        <v>2.116</v>
      </c>
      <c r="F123" s="3"/>
      <c r="G123" s="5"/>
      <c r="H123" s="3"/>
      <c r="I123" s="5"/>
      <c r="J123" s="3"/>
      <c r="K123" s="5"/>
      <c r="L123" s="3"/>
      <c r="M123" s="5"/>
      <c r="N123" s="3"/>
      <c r="O123" s="5"/>
      <c r="P123" s="3"/>
      <c r="Q123" s="5"/>
      <c r="R123" s="3"/>
      <c r="S123" s="5"/>
      <c r="T123" s="5"/>
      <c r="U123" s="5">
        <v>0</v>
      </c>
      <c r="V123" s="5"/>
      <c r="W123" s="5" t="str">
        <f>G123+I123+K123+M123+O123+Q123+S123+T123+U123+Y123</f>
        <v>0</v>
      </c>
      <c r="X123" s="5">
        <v>20089913.214</v>
      </c>
      <c r="Y123" s="5" t="str">
        <f>W123+X123</f>
        <v>0</v>
      </c>
      <c r="Z123" s="5">
        <v>0</v>
      </c>
      <c r="AA123" s="5" t="str">
        <f>Z123*D123</f>
        <v>0</v>
      </c>
      <c r="AB123" s="5">
        <v>0</v>
      </c>
      <c r="AC123" s="5" t="str">
        <f>AA123*AB123</f>
        <v>0</v>
      </c>
      <c r="AD123" s="5" t="str">
        <f>AC123-Y123</f>
        <v>0</v>
      </c>
      <c r="AE123" s="3" t="s">
        <v>169</v>
      </c>
      <c r="AF123" s="2"/>
    </row>
    <row r="124" spans="1:32">
      <c r="A124" s="3" t="s">
        <v>167</v>
      </c>
      <c r="B124" s="3" t="s">
        <v>172</v>
      </c>
      <c r="C124" s="3">
        <v>97</v>
      </c>
      <c r="D124" s="4">
        <v>17.902</v>
      </c>
      <c r="E124" s="4">
        <v>7.139</v>
      </c>
      <c r="F124" s="3"/>
      <c r="G124" s="5"/>
      <c r="H124" s="3"/>
      <c r="I124" s="5"/>
      <c r="J124" s="3"/>
      <c r="K124" s="5"/>
      <c r="L124" s="3"/>
      <c r="M124" s="5"/>
      <c r="N124" s="3"/>
      <c r="O124" s="5"/>
      <c r="P124" s="3"/>
      <c r="Q124" s="5"/>
      <c r="R124" s="3"/>
      <c r="S124" s="5"/>
      <c r="T124" s="5"/>
      <c r="U124" s="5">
        <v>0</v>
      </c>
      <c r="V124" s="5"/>
      <c r="W124" s="5" t="str">
        <f>G124+I124+K124+M124+O124+Q124+S124+T124+U124+Y124</f>
        <v>0</v>
      </c>
      <c r="X124" s="5">
        <v>22801505.596</v>
      </c>
      <c r="Y124" s="5" t="str">
        <f>W124+X124</f>
        <v>0</v>
      </c>
      <c r="Z124" s="5">
        <v>0</v>
      </c>
      <c r="AA124" s="5" t="str">
        <f>Z124*D124</f>
        <v>0</v>
      </c>
      <c r="AB124" s="5">
        <v>0</v>
      </c>
      <c r="AC124" s="5" t="str">
        <f>AA124*AB124</f>
        <v>0</v>
      </c>
      <c r="AD124" s="5" t="str">
        <f>AC124-Y124</f>
        <v>0</v>
      </c>
      <c r="AE124" s="3" t="s">
        <v>169</v>
      </c>
      <c r="AF124" s="2"/>
    </row>
    <row r="125" spans="1:32">
      <c r="A125" s="3" t="s">
        <v>167</v>
      </c>
      <c r="B125" s="3" t="s">
        <v>173</v>
      </c>
      <c r="C125" s="3">
        <v>111</v>
      </c>
      <c r="D125" s="4">
        <v>17.96</v>
      </c>
      <c r="E125" s="4">
        <v>6.29</v>
      </c>
      <c r="F125" s="3"/>
      <c r="G125" s="5"/>
      <c r="H125" s="3"/>
      <c r="I125" s="5"/>
      <c r="J125" s="3"/>
      <c r="K125" s="5"/>
      <c r="L125" s="3"/>
      <c r="M125" s="5"/>
      <c r="N125" s="3"/>
      <c r="O125" s="5"/>
      <c r="P125" s="3"/>
      <c r="Q125" s="5"/>
      <c r="R125" s="3"/>
      <c r="S125" s="5"/>
      <c r="T125" s="5"/>
      <c r="U125" s="5">
        <v>0</v>
      </c>
      <c r="V125" s="5"/>
      <c r="W125" s="5" t="str">
        <f>G125+I125+K125+M125+O125+Q125+S125+T125+U125+Y125</f>
        <v>0</v>
      </c>
      <c r="X125" s="5">
        <v>26092444.548</v>
      </c>
      <c r="Y125" s="5" t="str">
        <f>W125+X125</f>
        <v>0</v>
      </c>
      <c r="Z125" s="5">
        <v>0</v>
      </c>
      <c r="AA125" s="5" t="str">
        <f>Z125*D125</f>
        <v>0</v>
      </c>
      <c r="AB125" s="5">
        <v>0</v>
      </c>
      <c r="AC125" s="5" t="str">
        <f>AA125*AB125</f>
        <v>0</v>
      </c>
      <c r="AD125" s="5" t="str">
        <f>AC125-Y125</f>
        <v>0</v>
      </c>
      <c r="AE125" s="3" t="s">
        <v>169</v>
      </c>
      <c r="AF125" s="2"/>
    </row>
    <row r="126" spans="1:32">
      <c r="A126" s="3" t="s">
        <v>167</v>
      </c>
      <c r="B126" s="3" t="s">
        <v>174</v>
      </c>
      <c r="C126" s="3">
        <v>67</v>
      </c>
      <c r="D126" s="4">
        <v>16.99</v>
      </c>
      <c r="E126" s="4">
        <v>9.782</v>
      </c>
      <c r="F126" s="3"/>
      <c r="G126" s="5"/>
      <c r="H126" s="3"/>
      <c r="I126" s="5"/>
      <c r="J126" s="3"/>
      <c r="K126" s="5"/>
      <c r="L126" s="3"/>
      <c r="M126" s="5"/>
      <c r="N126" s="3"/>
      <c r="O126" s="5"/>
      <c r="P126" s="3"/>
      <c r="Q126" s="5"/>
      <c r="R126" s="3"/>
      <c r="S126" s="5"/>
      <c r="T126" s="5"/>
      <c r="U126" s="5">
        <v>0</v>
      </c>
      <c r="V126" s="5"/>
      <c r="W126" s="5" t="str">
        <f>G126+I126+K126+M126+O126+Q126+S126+T126+U126+Y126</f>
        <v>0</v>
      </c>
      <c r="X126" s="5">
        <v>26533700.594</v>
      </c>
      <c r="Y126" s="5" t="str">
        <f>W126+X126</f>
        <v>0</v>
      </c>
      <c r="Z126" s="5">
        <v>0</v>
      </c>
      <c r="AA126" s="5" t="str">
        <f>Z126*D126</f>
        <v>0</v>
      </c>
      <c r="AB126" s="5">
        <v>0</v>
      </c>
      <c r="AC126" s="5" t="str">
        <f>AA126*AB126</f>
        <v>0</v>
      </c>
      <c r="AD126" s="5" t="str">
        <f>AC126-Y126</f>
        <v>0</v>
      </c>
      <c r="AE126" s="3" t="s">
        <v>169</v>
      </c>
      <c r="AF126" s="2"/>
    </row>
    <row r="127" spans="1:32">
      <c r="A127" s="3" t="s">
        <v>167</v>
      </c>
      <c r="B127" s="3" t="s">
        <v>175</v>
      </c>
      <c r="C127" s="3">
        <v>291</v>
      </c>
      <c r="D127" s="4">
        <v>18.164</v>
      </c>
      <c r="E127" s="4">
        <v>2.468</v>
      </c>
      <c r="F127" s="3"/>
      <c r="G127" s="5"/>
      <c r="H127" s="3"/>
      <c r="I127" s="5"/>
      <c r="J127" s="3"/>
      <c r="K127" s="5"/>
      <c r="L127" s="3"/>
      <c r="M127" s="5"/>
      <c r="N127" s="3"/>
      <c r="O127" s="5"/>
      <c r="P127" s="3"/>
      <c r="Q127" s="5"/>
      <c r="R127" s="3"/>
      <c r="S127" s="5"/>
      <c r="T127" s="5"/>
      <c r="U127" s="5">
        <v>0</v>
      </c>
      <c r="V127" s="5"/>
      <c r="W127" s="5" t="str">
        <f>G127+I127+K127+M127+O127+Q127+S127+T127+U127+Y127</f>
        <v>0</v>
      </c>
      <c r="X127" s="5">
        <v>17769497.706</v>
      </c>
      <c r="Y127" s="5" t="str">
        <f>W127+X127</f>
        <v>0</v>
      </c>
      <c r="Z127" s="5">
        <v>0</v>
      </c>
      <c r="AA127" s="5" t="str">
        <f>Z127*D127</f>
        <v>0</v>
      </c>
      <c r="AB127" s="5">
        <v>0</v>
      </c>
      <c r="AC127" s="5" t="str">
        <f>AA127*AB127</f>
        <v>0</v>
      </c>
      <c r="AD127" s="5" t="str">
        <f>AC127-Y127</f>
        <v>0</v>
      </c>
      <c r="AE127" s="3" t="s">
        <v>169</v>
      </c>
      <c r="AF127" s="2"/>
    </row>
    <row r="128" spans="1:32">
      <c r="A128" s="3" t="s">
        <v>167</v>
      </c>
      <c r="B128" s="3" t="s">
        <v>176</v>
      </c>
      <c r="C128" s="3">
        <v>66</v>
      </c>
      <c r="D128" s="4">
        <v>17.636</v>
      </c>
      <c r="E128" s="4">
        <v>10.286</v>
      </c>
      <c r="F128" s="3"/>
      <c r="G128" s="5"/>
      <c r="H128" s="3"/>
      <c r="I128" s="5"/>
      <c r="J128" s="3"/>
      <c r="K128" s="5"/>
      <c r="L128" s="3"/>
      <c r="M128" s="5"/>
      <c r="N128" s="3"/>
      <c r="O128" s="5"/>
      <c r="P128" s="3"/>
      <c r="Q128" s="5"/>
      <c r="R128" s="3"/>
      <c r="S128" s="5"/>
      <c r="T128" s="5"/>
      <c r="U128" s="5">
        <v>0</v>
      </c>
      <c r="V128" s="5"/>
      <c r="W128" s="5" t="str">
        <f>G128+I128+K128+M128+O128+Q128+S128+T128+U128+Y128</f>
        <v>0</v>
      </c>
      <c r="X128" s="5">
        <v>26137675.212</v>
      </c>
      <c r="Y128" s="5" t="str">
        <f>W128+X128</f>
        <v>0</v>
      </c>
      <c r="Z128" s="5">
        <v>0</v>
      </c>
      <c r="AA128" s="5" t="str">
        <f>Z128*D128</f>
        <v>0</v>
      </c>
      <c r="AB128" s="5">
        <v>0</v>
      </c>
      <c r="AC128" s="5" t="str">
        <f>AA128*AB128</f>
        <v>0</v>
      </c>
      <c r="AD128" s="5" t="str">
        <f>AC128-Y128</f>
        <v>0</v>
      </c>
      <c r="AE128" s="3" t="s">
        <v>169</v>
      </c>
      <c r="AF128" s="2"/>
    </row>
    <row r="129" spans="1:32">
      <c r="A129" s="3" t="s">
        <v>167</v>
      </c>
      <c r="B129" s="3" t="s">
        <v>177</v>
      </c>
      <c r="C129" s="3">
        <v>312</v>
      </c>
      <c r="D129" s="4">
        <v>17.734</v>
      </c>
      <c r="E129" s="4">
        <v>2.258</v>
      </c>
      <c r="F129" s="3"/>
      <c r="G129" s="5"/>
      <c r="H129" s="3"/>
      <c r="I129" s="5"/>
      <c r="J129" s="3"/>
      <c r="K129" s="5"/>
      <c r="L129" s="3"/>
      <c r="M129" s="5"/>
      <c r="N129" s="3"/>
      <c r="O129" s="5"/>
      <c r="P129" s="3"/>
      <c r="Q129" s="5"/>
      <c r="R129" s="3"/>
      <c r="S129" s="5"/>
      <c r="T129" s="5"/>
      <c r="U129" s="5">
        <v>0</v>
      </c>
      <c r="V129" s="5"/>
      <c r="W129" s="5" t="str">
        <f>G129+I129+K129+M129+O129+Q129+S129+T129+U129+Y129</f>
        <v>0</v>
      </c>
      <c r="X129" s="5">
        <v>19051832.592</v>
      </c>
      <c r="Y129" s="5" t="str">
        <f>W129+X129</f>
        <v>0</v>
      </c>
      <c r="Z129" s="5">
        <v>0</v>
      </c>
      <c r="AA129" s="5" t="str">
        <f>Z129*D129</f>
        <v>0</v>
      </c>
      <c r="AB129" s="5">
        <v>0</v>
      </c>
      <c r="AC129" s="5" t="str">
        <f>AA129*AB129</f>
        <v>0</v>
      </c>
      <c r="AD129" s="5" t="str">
        <f>AC129-Y129</f>
        <v>0</v>
      </c>
      <c r="AE129" s="3" t="s">
        <v>169</v>
      </c>
      <c r="AF129" s="2"/>
    </row>
    <row r="130" spans="1:32">
      <c r="A130" s="3" t="s">
        <v>167</v>
      </c>
      <c r="B130" s="3" t="s">
        <v>178</v>
      </c>
      <c r="C130" s="3">
        <v>90</v>
      </c>
      <c r="D130" s="4">
        <v>18.34</v>
      </c>
      <c r="E130" s="4">
        <v>7.852</v>
      </c>
      <c r="F130" s="3"/>
      <c r="G130" s="5"/>
      <c r="H130" s="3"/>
      <c r="I130" s="5"/>
      <c r="J130" s="3"/>
      <c r="K130" s="5"/>
      <c r="L130" s="3"/>
      <c r="M130" s="5"/>
      <c r="N130" s="3"/>
      <c r="O130" s="5"/>
      <c r="P130" s="3"/>
      <c r="Q130" s="5"/>
      <c r="R130" s="3"/>
      <c r="S130" s="5"/>
      <c r="T130" s="5"/>
      <c r="U130" s="5">
        <v>0</v>
      </c>
      <c r="V130" s="5"/>
      <c r="W130" s="5" t="str">
        <f>G130+I130+K130+M130+O130+Q130+S130+T130+U130+Y130</f>
        <v>0</v>
      </c>
      <c r="X130" s="5">
        <v>21156036.12</v>
      </c>
      <c r="Y130" s="5" t="str">
        <f>W130+X130</f>
        <v>0</v>
      </c>
      <c r="Z130" s="5">
        <v>0</v>
      </c>
      <c r="AA130" s="5" t="str">
        <f>Z130*D130</f>
        <v>0</v>
      </c>
      <c r="AB130" s="5">
        <v>0</v>
      </c>
      <c r="AC130" s="5" t="str">
        <f>AA130*AB130</f>
        <v>0</v>
      </c>
      <c r="AD130" s="5" t="str">
        <f>AC130-Y130</f>
        <v>0</v>
      </c>
      <c r="AE130" s="3" t="s">
        <v>169</v>
      </c>
      <c r="AF130" s="2"/>
    </row>
    <row r="131" spans="1:32">
      <c r="A131" s="3" t="s">
        <v>167</v>
      </c>
      <c r="B131" s="3" t="s">
        <v>179</v>
      </c>
      <c r="C131" s="3">
        <v>315</v>
      </c>
      <c r="D131" s="4">
        <v>17.886</v>
      </c>
      <c r="E131" s="4">
        <v>2.26</v>
      </c>
      <c r="F131" s="3"/>
      <c r="G131" s="5"/>
      <c r="H131" s="3"/>
      <c r="I131" s="5"/>
      <c r="J131" s="3"/>
      <c r="K131" s="5"/>
      <c r="L131" s="3"/>
      <c r="M131" s="5"/>
      <c r="N131" s="3"/>
      <c r="O131" s="5"/>
      <c r="P131" s="3"/>
      <c r="Q131" s="5"/>
      <c r="R131" s="3"/>
      <c r="S131" s="5"/>
      <c r="T131" s="5"/>
      <c r="U131" s="5">
        <v>0</v>
      </c>
      <c r="V131" s="5"/>
      <c r="W131" s="5" t="str">
        <f>G131+I131+K131+M131+O131+Q131+S131+T131+U131+Y131</f>
        <v>0</v>
      </c>
      <c r="X131" s="5">
        <v>19235023.29</v>
      </c>
      <c r="Y131" s="5" t="str">
        <f>W131+X131</f>
        <v>0</v>
      </c>
      <c r="Z131" s="5">
        <v>0</v>
      </c>
      <c r="AA131" s="5" t="str">
        <f>Z131*D131</f>
        <v>0</v>
      </c>
      <c r="AB131" s="5">
        <v>0</v>
      </c>
      <c r="AC131" s="5" t="str">
        <f>AA131*AB131</f>
        <v>0</v>
      </c>
      <c r="AD131" s="5" t="str">
        <f>AC131-Y131</f>
        <v>0</v>
      </c>
      <c r="AE131" s="3" t="s">
        <v>169</v>
      </c>
      <c r="AF131" s="2"/>
    </row>
    <row r="132" spans="1:32">
      <c r="A132" s="3" t="s">
        <v>167</v>
      </c>
      <c r="B132" s="3" t="s">
        <v>180</v>
      </c>
      <c r="C132" s="3">
        <v>56</v>
      </c>
      <c r="D132" s="4">
        <v>18.387</v>
      </c>
      <c r="E132" s="4">
        <v>12.621</v>
      </c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3"/>
      <c r="Q132" s="5"/>
      <c r="R132" s="3"/>
      <c r="S132" s="5"/>
      <c r="T132" s="5"/>
      <c r="U132" s="5">
        <v>0</v>
      </c>
      <c r="V132" s="5"/>
      <c r="W132" s="5" t="str">
        <f>G132+I132+K132+M132+O132+Q132+S132+T132+U132+Y132</f>
        <v>0</v>
      </c>
      <c r="X132" s="5">
        <v>22177421.392</v>
      </c>
      <c r="Y132" s="5" t="str">
        <f>W132+X132</f>
        <v>0</v>
      </c>
      <c r="Z132" s="5">
        <v>0</v>
      </c>
      <c r="AA132" s="5" t="str">
        <f>Z132*D132</f>
        <v>0</v>
      </c>
      <c r="AB132" s="5">
        <v>0</v>
      </c>
      <c r="AC132" s="5" t="str">
        <f>AA132*AB132</f>
        <v>0</v>
      </c>
      <c r="AD132" s="5" t="str">
        <f>AC132-Y132</f>
        <v>0</v>
      </c>
      <c r="AE132" s="3" t="s">
        <v>169</v>
      </c>
      <c r="AF132" s="2"/>
    </row>
    <row r="133" spans="1:32">
      <c r="A133" s="3" t="s">
        <v>181</v>
      </c>
      <c r="B133" s="3" t="s">
        <v>182</v>
      </c>
      <c r="C133" s="3">
        <v>320</v>
      </c>
      <c r="D133" s="4">
        <v>17.522</v>
      </c>
      <c r="E133" s="4">
        <v>2.18</v>
      </c>
      <c r="F133" s="3"/>
      <c r="G133" s="5"/>
      <c r="H133" s="3"/>
      <c r="I133" s="5"/>
      <c r="J133" s="3"/>
      <c r="K133" s="5"/>
      <c r="L133" s="3"/>
      <c r="M133" s="5"/>
      <c r="N133" s="3"/>
      <c r="O133" s="5"/>
      <c r="P133" s="3"/>
      <c r="Q133" s="5"/>
      <c r="R133" s="3"/>
      <c r="S133" s="5"/>
      <c r="T133" s="5"/>
      <c r="U133" s="5">
        <v>0</v>
      </c>
      <c r="V133" s="5"/>
      <c r="W133" s="5" t="str">
        <f>G133+I133+K133+M133+O133+Q133+S133+T133+U133+Y133</f>
        <v>0</v>
      </c>
      <c r="X133" s="5">
        <v>19018354.24</v>
      </c>
      <c r="Y133" s="5" t="str">
        <f>W133+X133</f>
        <v>0</v>
      </c>
      <c r="Z133" s="5">
        <v>0</v>
      </c>
      <c r="AA133" s="5" t="str">
        <f>Z133*D133</f>
        <v>0</v>
      </c>
      <c r="AB133" s="5">
        <v>0</v>
      </c>
      <c r="AC133" s="5" t="str">
        <f>AA133*AB133</f>
        <v>0</v>
      </c>
      <c r="AD133" s="5" t="str">
        <f>AC133-Y133</f>
        <v>0</v>
      </c>
      <c r="AE133" s="3" t="s">
        <v>169</v>
      </c>
      <c r="AF133" s="2"/>
    </row>
    <row r="134" spans="1:32">
      <c r="A134" s="3" t="s">
        <v>181</v>
      </c>
      <c r="B134" s="3" t="s">
        <v>183</v>
      </c>
      <c r="C134" s="3">
        <v>69</v>
      </c>
      <c r="D134" s="4">
        <v>18.042</v>
      </c>
      <c r="E134" s="4">
        <v>10.101</v>
      </c>
      <c r="F134" s="3"/>
      <c r="G134" s="5"/>
      <c r="H134" s="3"/>
      <c r="I134" s="5"/>
      <c r="J134" s="3"/>
      <c r="K134" s="5"/>
      <c r="L134" s="3"/>
      <c r="M134" s="5"/>
      <c r="N134" s="3"/>
      <c r="O134" s="5"/>
      <c r="P134" s="3"/>
      <c r="Q134" s="5"/>
      <c r="R134" s="3"/>
      <c r="S134" s="5"/>
      <c r="T134" s="5"/>
      <c r="U134" s="5">
        <v>0</v>
      </c>
      <c r="V134" s="5"/>
      <c r="W134" s="5" t="str">
        <f>G134+I134+K134+M134+O134+Q134+S134+T134+U134+Y134</f>
        <v>0</v>
      </c>
      <c r="X134" s="5">
        <v>22917228.957</v>
      </c>
      <c r="Y134" s="5" t="str">
        <f>W134+X134</f>
        <v>0</v>
      </c>
      <c r="Z134" s="5">
        <v>0</v>
      </c>
      <c r="AA134" s="5" t="str">
        <f>Z134*D134</f>
        <v>0</v>
      </c>
      <c r="AB134" s="5">
        <v>0</v>
      </c>
      <c r="AC134" s="5" t="str">
        <f>AA134*AB134</f>
        <v>0</v>
      </c>
      <c r="AD134" s="5" t="str">
        <f>AC134-Y134</f>
        <v>0</v>
      </c>
      <c r="AE134" s="3" t="s">
        <v>169</v>
      </c>
      <c r="AF134" s="2"/>
    </row>
    <row r="135" spans="1:32">
      <c r="A135" s="3" t="s">
        <v>181</v>
      </c>
      <c r="B135" s="3" t="s">
        <v>184</v>
      </c>
      <c r="C135" s="3">
        <v>110</v>
      </c>
      <c r="D135" s="4">
        <v>17.82</v>
      </c>
      <c r="E135" s="4">
        <v>6.3</v>
      </c>
      <c r="F135" s="3"/>
      <c r="G135" s="5"/>
      <c r="H135" s="3"/>
      <c r="I135" s="5"/>
      <c r="J135" s="3"/>
      <c r="K135" s="5"/>
      <c r="L135" s="3"/>
      <c r="M135" s="5"/>
      <c r="N135" s="3"/>
      <c r="O135" s="5"/>
      <c r="P135" s="3"/>
      <c r="Q135" s="5"/>
      <c r="R135" s="3"/>
      <c r="S135" s="5"/>
      <c r="T135" s="5"/>
      <c r="U135" s="5">
        <v>0</v>
      </c>
      <c r="V135" s="5"/>
      <c r="W135" s="5" t="str">
        <f>G135+I135+K135+M135+O135+Q135+S135+T135+U135+Y135</f>
        <v>0</v>
      </c>
      <c r="X135" s="5">
        <v>18193181.93</v>
      </c>
      <c r="Y135" s="5" t="str">
        <f>W135+X135</f>
        <v>0</v>
      </c>
      <c r="Z135" s="5">
        <v>0</v>
      </c>
      <c r="AA135" s="5" t="str">
        <f>Z135*D135</f>
        <v>0</v>
      </c>
      <c r="AB135" s="5">
        <v>0</v>
      </c>
      <c r="AC135" s="5" t="str">
        <f>AA135*AB135</f>
        <v>0</v>
      </c>
      <c r="AD135" s="5" t="str">
        <f>AC135-Y135</f>
        <v>0</v>
      </c>
      <c r="AE135" s="3" t="s">
        <v>169</v>
      </c>
      <c r="AF135" s="2"/>
    </row>
    <row r="136" spans="1:32">
      <c r="A136" s="3" t="s">
        <v>181</v>
      </c>
      <c r="B136" s="3" t="s">
        <v>185</v>
      </c>
      <c r="C136" s="3">
        <v>295</v>
      </c>
      <c r="D136" s="4">
        <v>17.594</v>
      </c>
      <c r="E136" s="4">
        <v>2.367</v>
      </c>
      <c r="F136" s="3"/>
      <c r="G136" s="5"/>
      <c r="H136" s="3"/>
      <c r="I136" s="5"/>
      <c r="J136" s="3"/>
      <c r="K136" s="5"/>
      <c r="L136" s="3"/>
      <c r="M136" s="5"/>
      <c r="N136" s="3"/>
      <c r="O136" s="5"/>
      <c r="P136" s="3"/>
      <c r="Q136" s="5"/>
      <c r="R136" s="3"/>
      <c r="S136" s="5"/>
      <c r="T136" s="5"/>
      <c r="U136" s="5">
        <v>0</v>
      </c>
      <c r="V136" s="5"/>
      <c r="W136" s="5" t="str">
        <f>G136+I136+K136+M136+O136+Q136+S136+T136+U136+Y136</f>
        <v>0</v>
      </c>
      <c r="X136" s="5">
        <v>17532545.315</v>
      </c>
      <c r="Y136" s="5" t="str">
        <f>W136+X136</f>
        <v>0</v>
      </c>
      <c r="Z136" s="5">
        <v>0</v>
      </c>
      <c r="AA136" s="5" t="str">
        <f>Z136*D136</f>
        <v>0</v>
      </c>
      <c r="AB136" s="5">
        <v>0</v>
      </c>
      <c r="AC136" s="5" t="str">
        <f>AA136*AB136</f>
        <v>0</v>
      </c>
      <c r="AD136" s="5" t="str">
        <f>AC136-Y136</f>
        <v>0</v>
      </c>
      <c r="AE136" s="3" t="s">
        <v>169</v>
      </c>
      <c r="AF136" s="2"/>
    </row>
    <row r="137" spans="1:32">
      <c r="A137" s="3" t="s">
        <v>181</v>
      </c>
      <c r="B137" s="3" t="s">
        <v>186</v>
      </c>
      <c r="C137" s="3">
        <v>334</v>
      </c>
      <c r="D137" s="4">
        <v>17.497</v>
      </c>
      <c r="E137" s="4">
        <v>2.092</v>
      </c>
      <c r="F137" s="3"/>
      <c r="G137" s="5"/>
      <c r="H137" s="3"/>
      <c r="I137" s="5"/>
      <c r="J137" s="3"/>
      <c r="K137" s="5"/>
      <c r="L137" s="3"/>
      <c r="M137" s="5"/>
      <c r="N137" s="3"/>
      <c r="O137" s="5"/>
      <c r="P137" s="3"/>
      <c r="Q137" s="5"/>
      <c r="R137" s="3"/>
      <c r="S137" s="5"/>
      <c r="T137" s="5"/>
      <c r="U137" s="5">
        <v>0</v>
      </c>
      <c r="V137" s="5"/>
      <c r="W137" s="5" t="str">
        <f>G137+I137+K137+M137+O137+Q137+S137+T137+U137+Y137</f>
        <v>0</v>
      </c>
      <c r="X137" s="5">
        <v>19850407.238</v>
      </c>
      <c r="Y137" s="5" t="str">
        <f>W137+X137</f>
        <v>0</v>
      </c>
      <c r="Z137" s="5">
        <v>0</v>
      </c>
      <c r="AA137" s="5" t="str">
        <f>Z137*D137</f>
        <v>0</v>
      </c>
      <c r="AB137" s="5">
        <v>0</v>
      </c>
      <c r="AC137" s="5" t="str">
        <f>AA137*AB137</f>
        <v>0</v>
      </c>
      <c r="AD137" s="5" t="str">
        <f>AC137-Y137</f>
        <v>0</v>
      </c>
      <c r="AE137" s="3" t="s">
        <v>169</v>
      </c>
      <c r="AF137" s="2"/>
    </row>
    <row r="138" spans="1:32">
      <c r="A138" s="3" t="s">
        <v>181</v>
      </c>
      <c r="B138" s="3" t="s">
        <v>187</v>
      </c>
      <c r="C138" s="3">
        <v>333</v>
      </c>
      <c r="D138" s="4">
        <v>18.133</v>
      </c>
      <c r="E138" s="4">
        <v>2.168</v>
      </c>
      <c r="F138" s="3"/>
      <c r="G138" s="5"/>
      <c r="H138" s="3"/>
      <c r="I138" s="5"/>
      <c r="J138" s="3"/>
      <c r="K138" s="5"/>
      <c r="L138" s="3"/>
      <c r="M138" s="5"/>
      <c r="N138" s="3"/>
      <c r="O138" s="5"/>
      <c r="P138" s="3"/>
      <c r="Q138" s="5"/>
      <c r="R138" s="3"/>
      <c r="S138" s="5"/>
      <c r="T138" s="5"/>
      <c r="U138" s="5">
        <v>0</v>
      </c>
      <c r="V138" s="5"/>
      <c r="W138" s="5" t="str">
        <f>G138+I138+K138+M138+O138+Q138+S138+T138+U138+Y138</f>
        <v>0</v>
      </c>
      <c r="X138" s="5">
        <v>19790974.881</v>
      </c>
      <c r="Y138" s="5" t="str">
        <f>W138+X138</f>
        <v>0</v>
      </c>
      <c r="Z138" s="5">
        <v>0</v>
      </c>
      <c r="AA138" s="5" t="str">
        <f>Z138*D138</f>
        <v>0</v>
      </c>
      <c r="AB138" s="5">
        <v>0</v>
      </c>
      <c r="AC138" s="5" t="str">
        <f>AA138*AB138</f>
        <v>0</v>
      </c>
      <c r="AD138" s="5" t="str">
        <f>AC138-Y138</f>
        <v>0</v>
      </c>
      <c r="AE138" s="3" t="s">
        <v>169</v>
      </c>
      <c r="AF138" s="2"/>
    </row>
    <row r="139" spans="1:32">
      <c r="A139" s="3" t="s">
        <v>188</v>
      </c>
      <c r="B139" s="3" t="s">
        <v>189</v>
      </c>
      <c r="C139" s="3">
        <v>316</v>
      </c>
      <c r="D139" s="4">
        <v>17.484</v>
      </c>
      <c r="E139" s="4">
        <v>2.202</v>
      </c>
      <c r="F139" s="3"/>
      <c r="G139" s="5"/>
      <c r="H139" s="3"/>
      <c r="I139" s="5"/>
      <c r="J139" s="3"/>
      <c r="K139" s="5"/>
      <c r="L139" s="3"/>
      <c r="M139" s="5"/>
      <c r="N139" s="3"/>
      <c r="O139" s="5"/>
      <c r="P139" s="3"/>
      <c r="Q139" s="5"/>
      <c r="R139" s="3"/>
      <c r="S139" s="5"/>
      <c r="T139" s="5"/>
      <c r="U139" s="5">
        <v>0</v>
      </c>
      <c r="V139" s="5"/>
      <c r="W139" s="5" t="str">
        <f>G139+I139+K139+M139+O139+Q139+S139+T139+U139+Y139</f>
        <v>0</v>
      </c>
      <c r="X139" s="5">
        <v>15462526.22</v>
      </c>
      <c r="Y139" s="5" t="str">
        <f>W139+X139</f>
        <v>0</v>
      </c>
      <c r="Z139" s="5">
        <v>0</v>
      </c>
      <c r="AA139" s="5" t="str">
        <f>Z139*D139</f>
        <v>0</v>
      </c>
      <c r="AB139" s="5">
        <v>0</v>
      </c>
      <c r="AC139" s="5" t="str">
        <f>AA139*AB139</f>
        <v>0</v>
      </c>
      <c r="AD139" s="5" t="str">
        <f>AC139-Y139</f>
        <v>0</v>
      </c>
      <c r="AE139" s="3" t="s">
        <v>169</v>
      </c>
      <c r="AF139" s="2"/>
    </row>
    <row r="140" spans="1:32">
      <c r="A140" s="3" t="s">
        <v>188</v>
      </c>
      <c r="B140" s="3" t="s">
        <v>190</v>
      </c>
      <c r="C140" s="3">
        <v>72</v>
      </c>
      <c r="D140" s="4">
        <v>18.535</v>
      </c>
      <c r="E140" s="4">
        <v>9.861</v>
      </c>
      <c r="F140" s="3"/>
      <c r="G140" s="5"/>
      <c r="H140" s="3"/>
      <c r="I140" s="5"/>
      <c r="J140" s="3"/>
      <c r="K140" s="5"/>
      <c r="L140" s="3"/>
      <c r="M140" s="5"/>
      <c r="N140" s="3"/>
      <c r="O140" s="5"/>
      <c r="P140" s="3"/>
      <c r="Q140" s="5"/>
      <c r="R140" s="3"/>
      <c r="S140" s="5"/>
      <c r="T140" s="5"/>
      <c r="U140" s="5">
        <v>0</v>
      </c>
      <c r="V140" s="5"/>
      <c r="W140" s="5" t="str">
        <f>G140+I140+K140+M140+O140+Q140+S140+T140+U140+Y140</f>
        <v>0</v>
      </c>
      <c r="X140" s="5">
        <v>20316168</v>
      </c>
      <c r="Y140" s="5" t="str">
        <f>W140+X140</f>
        <v>0</v>
      </c>
      <c r="Z140" s="5">
        <v>0</v>
      </c>
      <c r="AA140" s="5" t="str">
        <f>Z140*D140</f>
        <v>0</v>
      </c>
      <c r="AB140" s="5">
        <v>0</v>
      </c>
      <c r="AC140" s="5" t="str">
        <f>AA140*AB140</f>
        <v>0</v>
      </c>
      <c r="AD140" s="5" t="str">
        <f>AC140-Y140</f>
        <v>0</v>
      </c>
      <c r="AE140" s="3" t="s">
        <v>169</v>
      </c>
      <c r="AF140" s="2"/>
    </row>
    <row r="141" spans="1:32">
      <c r="A141" s="3" t="s">
        <v>188</v>
      </c>
      <c r="B141" s="3" t="s">
        <v>191</v>
      </c>
      <c r="C141" s="3">
        <v>284</v>
      </c>
      <c r="D141" s="4">
        <v>17.815</v>
      </c>
      <c r="E141" s="4">
        <v>2.483</v>
      </c>
      <c r="F141" s="3"/>
      <c r="G141" s="5"/>
      <c r="H141" s="3"/>
      <c r="I141" s="5"/>
      <c r="J141" s="3"/>
      <c r="K141" s="5"/>
      <c r="L141" s="3"/>
      <c r="M141" s="5"/>
      <c r="N141" s="3"/>
      <c r="O141" s="5"/>
      <c r="P141" s="3"/>
      <c r="Q141" s="5"/>
      <c r="R141" s="3"/>
      <c r="S141" s="5"/>
      <c r="T141" s="5"/>
      <c r="U141" s="5">
        <v>0</v>
      </c>
      <c r="V141" s="5"/>
      <c r="W141" s="5" t="str">
        <f>G141+I141+K141+M141+O141+Q141+S141+T141+U141+Y141</f>
        <v>0</v>
      </c>
      <c r="X141" s="5">
        <v>13896700.78</v>
      </c>
      <c r="Y141" s="5" t="str">
        <f>W141+X141</f>
        <v>0</v>
      </c>
      <c r="Z141" s="5">
        <v>0</v>
      </c>
      <c r="AA141" s="5" t="str">
        <f>Z141*D141</f>
        <v>0</v>
      </c>
      <c r="AB141" s="5">
        <v>0</v>
      </c>
      <c r="AC141" s="5" t="str">
        <f>AA141*AB141</f>
        <v>0</v>
      </c>
      <c r="AD141" s="5" t="str">
        <f>AC141-Y141</f>
        <v>0</v>
      </c>
      <c r="AE141" s="3" t="s">
        <v>169</v>
      </c>
      <c r="AF141" s="2"/>
    </row>
    <row r="142" spans="1:32">
      <c r="A142" s="3" t="s">
        <v>188</v>
      </c>
      <c r="B142" s="3" t="s">
        <v>192</v>
      </c>
      <c r="C142" s="3">
        <v>277</v>
      </c>
      <c r="D142" s="4">
        <v>17.834</v>
      </c>
      <c r="E142" s="4">
        <v>2.545</v>
      </c>
      <c r="F142" s="3"/>
      <c r="G142" s="5"/>
      <c r="H142" s="3"/>
      <c r="I142" s="5"/>
      <c r="J142" s="3"/>
      <c r="K142" s="5"/>
      <c r="L142" s="3"/>
      <c r="M142" s="5"/>
      <c r="N142" s="3"/>
      <c r="O142" s="5"/>
      <c r="P142" s="3"/>
      <c r="Q142" s="5"/>
      <c r="R142" s="3"/>
      <c r="S142" s="5"/>
      <c r="T142" s="5"/>
      <c r="U142" s="5">
        <v>0</v>
      </c>
      <c r="V142" s="5"/>
      <c r="W142" s="5" t="str">
        <f>G142+I142+K142+M142+O142+Q142+S142+T142+U142+Y142</f>
        <v>0</v>
      </c>
      <c r="X142" s="5">
        <v>13554176.465</v>
      </c>
      <c r="Y142" s="5" t="str">
        <f>W142+X142</f>
        <v>0</v>
      </c>
      <c r="Z142" s="5">
        <v>0</v>
      </c>
      <c r="AA142" s="5" t="str">
        <f>Z142*D142</f>
        <v>0</v>
      </c>
      <c r="AB142" s="5">
        <v>0</v>
      </c>
      <c r="AC142" s="5" t="str">
        <f>AA142*AB142</f>
        <v>0</v>
      </c>
      <c r="AD142" s="5" t="str">
        <f>AC142-Y142</f>
        <v>0</v>
      </c>
      <c r="AE142" s="3" t="s">
        <v>169</v>
      </c>
      <c r="AF142" s="2"/>
    </row>
    <row r="143" spans="1:32">
      <c r="A143" s="3" t="s">
        <v>188</v>
      </c>
      <c r="B143" s="3" t="s">
        <v>193</v>
      </c>
      <c r="C143" s="3">
        <v>361</v>
      </c>
      <c r="D143" s="4">
        <v>17.496</v>
      </c>
      <c r="E143" s="4">
        <v>1.942</v>
      </c>
      <c r="F143" s="3"/>
      <c r="G143" s="5"/>
      <c r="H143" s="3"/>
      <c r="I143" s="5"/>
      <c r="J143" s="3"/>
      <c r="K143" s="5"/>
      <c r="L143" s="3"/>
      <c r="M143" s="5"/>
      <c r="N143" s="3"/>
      <c r="O143" s="5"/>
      <c r="P143" s="3"/>
      <c r="Q143" s="5"/>
      <c r="R143" s="3"/>
      <c r="S143" s="5"/>
      <c r="T143" s="5"/>
      <c r="U143" s="5">
        <v>0</v>
      </c>
      <c r="V143" s="5"/>
      <c r="W143" s="5" t="str">
        <f>G143+I143+K143+M143+O143+Q143+S143+T143+U143+Y143</f>
        <v>0</v>
      </c>
      <c r="X143" s="5">
        <v>17664468.245</v>
      </c>
      <c r="Y143" s="5" t="str">
        <f>W143+X143</f>
        <v>0</v>
      </c>
      <c r="Z143" s="5">
        <v>0</v>
      </c>
      <c r="AA143" s="5" t="str">
        <f>Z143*D143</f>
        <v>0</v>
      </c>
      <c r="AB143" s="5">
        <v>0</v>
      </c>
      <c r="AC143" s="5" t="str">
        <f>AA143*AB143</f>
        <v>0</v>
      </c>
      <c r="AD143" s="5" t="str">
        <f>AC143-Y143</f>
        <v>0</v>
      </c>
      <c r="AE143" s="3" t="s">
        <v>169</v>
      </c>
      <c r="AF143" s="2"/>
    </row>
    <row r="144" spans="1:32">
      <c r="A144" s="3" t="s">
        <v>188</v>
      </c>
      <c r="B144" s="3" t="s">
        <v>194</v>
      </c>
      <c r="C144" s="3">
        <v>332</v>
      </c>
      <c r="D144" s="4">
        <v>17.559</v>
      </c>
      <c r="E144" s="4">
        <v>2.11</v>
      </c>
      <c r="F144" s="3"/>
      <c r="G144" s="5"/>
      <c r="H144" s="3"/>
      <c r="I144" s="5"/>
      <c r="J144" s="3"/>
      <c r="K144" s="5"/>
      <c r="L144" s="3"/>
      <c r="M144" s="5"/>
      <c r="N144" s="3"/>
      <c r="O144" s="5"/>
      <c r="P144" s="3"/>
      <c r="Q144" s="5"/>
      <c r="R144" s="3"/>
      <c r="S144" s="5"/>
      <c r="T144" s="5"/>
      <c r="U144" s="5">
        <v>0</v>
      </c>
      <c r="V144" s="5"/>
      <c r="W144" s="5" t="str">
        <f>G144+I144+K144+M144+O144+Q144+S144+T144+U144+Y144</f>
        <v>0</v>
      </c>
      <c r="X144" s="5">
        <v>16245438.94</v>
      </c>
      <c r="Y144" s="5" t="str">
        <f>W144+X144</f>
        <v>0</v>
      </c>
      <c r="Z144" s="5">
        <v>0</v>
      </c>
      <c r="AA144" s="5" t="str">
        <f>Z144*D144</f>
        <v>0</v>
      </c>
      <c r="AB144" s="5">
        <v>0</v>
      </c>
      <c r="AC144" s="5" t="str">
        <f>AA144*AB144</f>
        <v>0</v>
      </c>
      <c r="AD144" s="5" t="str">
        <f>AC144-Y144</f>
        <v>0</v>
      </c>
      <c r="AE144" s="3" t="s">
        <v>169</v>
      </c>
      <c r="AF144" s="2"/>
    </row>
    <row r="145" spans="1:32">
      <c r="A145" s="3" t="s">
        <v>188</v>
      </c>
      <c r="B145" s="3" t="s">
        <v>195</v>
      </c>
      <c r="C145" s="3">
        <v>103</v>
      </c>
      <c r="D145" s="4">
        <v>17.981</v>
      </c>
      <c r="E145" s="4">
        <v>6.769</v>
      </c>
      <c r="F145" s="3"/>
      <c r="G145" s="5"/>
      <c r="H145" s="3"/>
      <c r="I145" s="5"/>
      <c r="J145" s="3"/>
      <c r="K145" s="5"/>
      <c r="L145" s="3"/>
      <c r="M145" s="5"/>
      <c r="N145" s="3"/>
      <c r="O145" s="5"/>
      <c r="P145" s="3"/>
      <c r="Q145" s="5"/>
      <c r="R145" s="3"/>
      <c r="S145" s="5"/>
      <c r="T145" s="5"/>
      <c r="U145" s="5">
        <v>0</v>
      </c>
      <c r="V145" s="5"/>
      <c r="W145" s="5" t="str">
        <f>G145+I145+K145+M145+O145+Q145+S145+T145+U145+Y145</f>
        <v>0</v>
      </c>
      <c r="X145" s="5">
        <v>29063407</v>
      </c>
      <c r="Y145" s="5" t="str">
        <f>W145+X145</f>
        <v>0</v>
      </c>
      <c r="Z145" s="5">
        <v>0</v>
      </c>
      <c r="AA145" s="5" t="str">
        <f>Z145*D145</f>
        <v>0</v>
      </c>
      <c r="AB145" s="5">
        <v>0</v>
      </c>
      <c r="AC145" s="5" t="str">
        <f>AA145*AB145</f>
        <v>0</v>
      </c>
      <c r="AD145" s="5" t="str">
        <f>AC145-Y145</f>
        <v>0</v>
      </c>
      <c r="AE145" s="3" t="s">
        <v>169</v>
      </c>
      <c r="AF145" s="2"/>
    </row>
    <row r="146" spans="1:32">
      <c r="A146" s="3" t="s">
        <v>196</v>
      </c>
      <c r="B146" s="3" t="s">
        <v>197</v>
      </c>
      <c r="C146" s="3">
        <v>48</v>
      </c>
      <c r="D146" s="4">
        <v>18.919</v>
      </c>
      <c r="E146" s="4">
        <v>15.046</v>
      </c>
      <c r="F146" s="3"/>
      <c r="G146" s="5"/>
      <c r="H146" s="3"/>
      <c r="I146" s="5"/>
      <c r="J146" s="3"/>
      <c r="K146" s="5"/>
      <c r="L146" s="3"/>
      <c r="M146" s="5"/>
      <c r="N146" s="3"/>
      <c r="O146" s="5"/>
      <c r="P146" s="3"/>
      <c r="Q146" s="5"/>
      <c r="R146" s="3"/>
      <c r="S146" s="5"/>
      <c r="T146" s="5"/>
      <c r="U146" s="5">
        <v>0</v>
      </c>
      <c r="V146" s="5"/>
      <c r="W146" s="5" t="str">
        <f>G146+I146+K146+M146+O146+Q146+S146+T146+U146+Y146</f>
        <v>0</v>
      </c>
      <c r="X146" s="5">
        <v>8692870.416</v>
      </c>
      <c r="Y146" s="5" t="str">
        <f>W146+X146</f>
        <v>0</v>
      </c>
      <c r="Z146" s="5">
        <v>0</v>
      </c>
      <c r="AA146" s="5" t="str">
        <f>Z146*D146</f>
        <v>0</v>
      </c>
      <c r="AB146" s="5">
        <v>0</v>
      </c>
      <c r="AC146" s="5" t="str">
        <f>AA146*AB146</f>
        <v>0</v>
      </c>
      <c r="AD146" s="5" t="str">
        <f>AC146-Y146</f>
        <v>0</v>
      </c>
      <c r="AE146" s="3" t="s">
        <v>111</v>
      </c>
      <c r="AF146" s="2"/>
    </row>
    <row r="147" spans="1:32">
      <c r="A147" s="3" t="s">
        <v>196</v>
      </c>
      <c r="B147" s="3" t="s">
        <v>198</v>
      </c>
      <c r="C147" s="3">
        <v>109</v>
      </c>
      <c r="D147" s="4">
        <v>18.421</v>
      </c>
      <c r="E147" s="4">
        <v>6.561</v>
      </c>
      <c r="F147" s="3"/>
      <c r="G147" s="5"/>
      <c r="H147" s="3"/>
      <c r="I147" s="5"/>
      <c r="J147" s="3"/>
      <c r="K147" s="5"/>
      <c r="L147" s="3"/>
      <c r="M147" s="5"/>
      <c r="N147" s="3"/>
      <c r="O147" s="5"/>
      <c r="P147" s="3"/>
      <c r="Q147" s="5"/>
      <c r="R147" s="3"/>
      <c r="S147" s="5"/>
      <c r="T147" s="5"/>
      <c r="U147" s="5">
        <v>0</v>
      </c>
      <c r="V147" s="5"/>
      <c r="W147" s="5" t="str">
        <f>G147+I147+K147+M147+O147+Q147+S147+T147+U147+Y147</f>
        <v>0</v>
      </c>
      <c r="X147" s="5">
        <v>19740059.903</v>
      </c>
      <c r="Y147" s="5" t="str">
        <f>W147+X147</f>
        <v>0</v>
      </c>
      <c r="Z147" s="5">
        <v>0</v>
      </c>
      <c r="AA147" s="5" t="str">
        <f>Z147*D147</f>
        <v>0</v>
      </c>
      <c r="AB147" s="5">
        <v>0</v>
      </c>
      <c r="AC147" s="5" t="str">
        <f>AA147*AB147</f>
        <v>0</v>
      </c>
      <c r="AD147" s="5" t="str">
        <f>AC147-Y147</f>
        <v>0</v>
      </c>
      <c r="AE147" s="3" t="s">
        <v>111</v>
      </c>
      <c r="AF147" s="2"/>
    </row>
    <row r="148" spans="1:32">
      <c r="A148" s="3" t="s">
        <v>196</v>
      </c>
      <c r="B148" s="3" t="s">
        <v>199</v>
      </c>
      <c r="C148" s="3">
        <v>302</v>
      </c>
      <c r="D148" s="4">
        <v>17.616</v>
      </c>
      <c r="E148" s="4">
        <v>2.315</v>
      </c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3"/>
      <c r="Q148" s="5"/>
      <c r="R148" s="3"/>
      <c r="S148" s="5"/>
      <c r="T148" s="5"/>
      <c r="U148" s="5">
        <v>0</v>
      </c>
      <c r="V148" s="5"/>
      <c r="W148" s="5" t="str">
        <f>G148+I148+K148+M148+O148+Q148+S148+T148+U148+Y148</f>
        <v>0</v>
      </c>
      <c r="X148" s="5">
        <v>54692643.034</v>
      </c>
      <c r="Y148" s="5" t="str">
        <f>W148+X148</f>
        <v>0</v>
      </c>
      <c r="Z148" s="5">
        <v>0</v>
      </c>
      <c r="AA148" s="5" t="str">
        <f>Z148*D148</f>
        <v>0</v>
      </c>
      <c r="AB148" s="5">
        <v>0</v>
      </c>
      <c r="AC148" s="5" t="str">
        <f>AA148*AB148</f>
        <v>0</v>
      </c>
      <c r="AD148" s="5" t="str">
        <f>AC148-Y148</f>
        <v>0</v>
      </c>
      <c r="AE148" s="3" t="s">
        <v>111</v>
      </c>
      <c r="AF148" s="2"/>
    </row>
    <row r="149" spans="1:32">
      <c r="A149" s="3" t="s">
        <v>196</v>
      </c>
      <c r="B149" s="3" t="s">
        <v>200</v>
      </c>
      <c r="C149" s="3">
        <v>84</v>
      </c>
      <c r="D149" s="4">
        <v>18.334</v>
      </c>
      <c r="E149" s="4">
        <v>8.389</v>
      </c>
      <c r="F149" s="3"/>
      <c r="G149" s="5"/>
      <c r="H149" s="3"/>
      <c r="I149" s="5"/>
      <c r="J149" s="3"/>
      <c r="K149" s="5"/>
      <c r="L149" s="3"/>
      <c r="M149" s="5"/>
      <c r="N149" s="3"/>
      <c r="O149" s="5"/>
      <c r="P149" s="3"/>
      <c r="Q149" s="5"/>
      <c r="R149" s="3"/>
      <c r="S149" s="5"/>
      <c r="T149" s="5"/>
      <c r="U149" s="5">
        <v>0</v>
      </c>
      <c r="V149" s="5"/>
      <c r="W149" s="5" t="str">
        <f>G149+I149+K149+M149+O149+Q149+S149+T149+U149+Y149</f>
        <v>0</v>
      </c>
      <c r="X149" s="5">
        <v>15212523.228</v>
      </c>
      <c r="Y149" s="5" t="str">
        <f>W149+X149</f>
        <v>0</v>
      </c>
      <c r="Z149" s="5">
        <v>0</v>
      </c>
      <c r="AA149" s="5" t="str">
        <f>Z149*D149</f>
        <v>0</v>
      </c>
      <c r="AB149" s="5">
        <v>0</v>
      </c>
      <c r="AC149" s="5" t="str">
        <f>AA149*AB149</f>
        <v>0</v>
      </c>
      <c r="AD149" s="5" t="str">
        <f>AC149-Y149</f>
        <v>0</v>
      </c>
      <c r="AE149" s="3" t="s">
        <v>111</v>
      </c>
      <c r="AF149" s="2"/>
    </row>
    <row r="150" spans="1:32">
      <c r="A150" s="3" t="s">
        <v>196</v>
      </c>
      <c r="B150" s="3" t="s">
        <v>201</v>
      </c>
      <c r="C150" s="3">
        <v>101</v>
      </c>
      <c r="D150" s="4">
        <v>18.075</v>
      </c>
      <c r="E150" s="4">
        <v>6.929</v>
      </c>
      <c r="F150" s="3"/>
      <c r="G150" s="5"/>
      <c r="H150" s="3"/>
      <c r="I150" s="5"/>
      <c r="J150" s="3"/>
      <c r="K150" s="5"/>
      <c r="L150" s="3"/>
      <c r="M150" s="5"/>
      <c r="N150" s="3"/>
      <c r="O150" s="5"/>
      <c r="P150" s="3"/>
      <c r="Q150" s="5"/>
      <c r="R150" s="3"/>
      <c r="S150" s="5"/>
      <c r="T150" s="5"/>
      <c r="U150" s="5">
        <v>0</v>
      </c>
      <c r="V150" s="5"/>
      <c r="W150" s="5" t="str">
        <f>G150+I150+K150+M150+O150+Q150+S150+T150+U150+Y150</f>
        <v>0</v>
      </c>
      <c r="X150" s="5">
        <v>18291248.167</v>
      </c>
      <c r="Y150" s="5" t="str">
        <f>W150+X150</f>
        <v>0</v>
      </c>
      <c r="Z150" s="5">
        <v>0</v>
      </c>
      <c r="AA150" s="5" t="str">
        <f>Z150*D150</f>
        <v>0</v>
      </c>
      <c r="AB150" s="5">
        <v>0</v>
      </c>
      <c r="AC150" s="5" t="str">
        <f>AA150*AB150</f>
        <v>0</v>
      </c>
      <c r="AD150" s="5" t="str">
        <f>AC150-Y150</f>
        <v>0</v>
      </c>
      <c r="AE150" s="3" t="s">
        <v>111</v>
      </c>
      <c r="AF150" s="2"/>
    </row>
    <row r="151" spans="1:32">
      <c r="A151" s="3" t="s">
        <v>196</v>
      </c>
      <c r="B151" s="3" t="s">
        <v>202</v>
      </c>
      <c r="C151" s="3">
        <v>64</v>
      </c>
      <c r="D151" s="4">
        <v>16.303</v>
      </c>
      <c r="E151" s="4">
        <v>9.855</v>
      </c>
      <c r="F151" s="3"/>
      <c r="G151" s="5"/>
      <c r="H151" s="3"/>
      <c r="I151" s="5"/>
      <c r="J151" s="3"/>
      <c r="K151" s="5"/>
      <c r="L151" s="3"/>
      <c r="M151" s="5"/>
      <c r="N151" s="3"/>
      <c r="O151" s="5"/>
      <c r="P151" s="3"/>
      <c r="Q151" s="5"/>
      <c r="R151" s="3"/>
      <c r="S151" s="5"/>
      <c r="T151" s="5"/>
      <c r="U151" s="5">
        <v>0</v>
      </c>
      <c r="V151" s="5"/>
      <c r="W151" s="5" t="str">
        <f>G151+I151+K151+M151+O151+Q151+S151+T151+U151+Y151</f>
        <v>0</v>
      </c>
      <c r="X151" s="5">
        <v>11590493.888</v>
      </c>
      <c r="Y151" s="5" t="str">
        <f>W151+X151</f>
        <v>0</v>
      </c>
      <c r="Z151" s="5">
        <v>0</v>
      </c>
      <c r="AA151" s="5" t="str">
        <f>Z151*D151</f>
        <v>0</v>
      </c>
      <c r="AB151" s="5">
        <v>0</v>
      </c>
      <c r="AC151" s="5" t="str">
        <f>AA151*AB151</f>
        <v>0</v>
      </c>
      <c r="AD151" s="5" t="str">
        <f>AC151-Y151</f>
        <v>0</v>
      </c>
      <c r="AE151" s="3" t="s">
        <v>111</v>
      </c>
      <c r="AF151" s="2"/>
    </row>
    <row r="152" spans="1:32">
      <c r="A152" s="3" t="s">
        <v>196</v>
      </c>
      <c r="B152" s="3" t="s">
        <v>203</v>
      </c>
      <c r="C152" s="3">
        <v>310</v>
      </c>
      <c r="D152" s="4">
        <v>17.073</v>
      </c>
      <c r="E152" s="4">
        <v>2.192</v>
      </c>
      <c r="F152" s="3"/>
      <c r="G152" s="5"/>
      <c r="H152" s="3"/>
      <c r="I152" s="5"/>
      <c r="J152" s="3"/>
      <c r="K152" s="5"/>
      <c r="L152" s="3"/>
      <c r="M152" s="5"/>
      <c r="N152" s="3"/>
      <c r="O152" s="5"/>
      <c r="P152" s="3"/>
      <c r="Q152" s="5"/>
      <c r="R152" s="3"/>
      <c r="S152" s="5"/>
      <c r="T152" s="5"/>
      <c r="U152" s="5">
        <v>0</v>
      </c>
      <c r="V152" s="5"/>
      <c r="W152" s="5" t="str">
        <f>G152+I152+K152+M152+O152+Q152+S152+T152+U152+Y152</f>
        <v>0</v>
      </c>
      <c r="X152" s="5">
        <v>56141454.77</v>
      </c>
      <c r="Y152" s="5" t="str">
        <f>W152+X152</f>
        <v>0</v>
      </c>
      <c r="Z152" s="5">
        <v>0</v>
      </c>
      <c r="AA152" s="5" t="str">
        <f>Z152*D152</f>
        <v>0</v>
      </c>
      <c r="AB152" s="5">
        <v>0</v>
      </c>
      <c r="AC152" s="5" t="str">
        <f>AA152*AB152</f>
        <v>0</v>
      </c>
      <c r="AD152" s="5" t="str">
        <f>AC152-Y152</f>
        <v>0</v>
      </c>
      <c r="AE152" s="3" t="s">
        <v>111</v>
      </c>
      <c r="AF152" s="2"/>
    </row>
    <row r="153" spans="1:32">
      <c r="A153" s="3" t="s">
        <v>196</v>
      </c>
      <c r="B153" s="3" t="s">
        <v>204</v>
      </c>
      <c r="C153" s="3">
        <v>65</v>
      </c>
      <c r="D153" s="4">
        <v>17.35</v>
      </c>
      <c r="E153" s="4">
        <v>10.347</v>
      </c>
      <c r="F153" s="3"/>
      <c r="G153" s="5"/>
      <c r="H153" s="3"/>
      <c r="I153" s="5"/>
      <c r="J153" s="3"/>
      <c r="K153" s="5"/>
      <c r="L153" s="3"/>
      <c r="M153" s="5"/>
      <c r="N153" s="3"/>
      <c r="O153" s="5"/>
      <c r="P153" s="3"/>
      <c r="Q153" s="5"/>
      <c r="R153" s="3"/>
      <c r="S153" s="5"/>
      <c r="T153" s="5"/>
      <c r="U153" s="5">
        <v>0</v>
      </c>
      <c r="V153" s="5"/>
      <c r="W153" s="5" t="str">
        <f>G153+I153+K153+M153+O153+Q153+S153+T153+U153+Y153</f>
        <v>0</v>
      </c>
      <c r="X153" s="5">
        <v>11771595.355</v>
      </c>
      <c r="Y153" s="5" t="str">
        <f>W153+X153</f>
        <v>0</v>
      </c>
      <c r="Z153" s="5">
        <v>0</v>
      </c>
      <c r="AA153" s="5" t="str">
        <f>Z153*D153</f>
        <v>0</v>
      </c>
      <c r="AB153" s="5">
        <v>0</v>
      </c>
      <c r="AC153" s="5" t="str">
        <f>AA153*AB153</f>
        <v>0</v>
      </c>
      <c r="AD153" s="5" t="str">
        <f>AC153-Y153</f>
        <v>0</v>
      </c>
      <c r="AE153" s="3" t="s">
        <v>111</v>
      </c>
      <c r="AF153" s="2"/>
    </row>
    <row r="154" spans="1:32">
      <c r="A154" s="3" t="s">
        <v>196</v>
      </c>
      <c r="B154" s="3" t="s">
        <v>205</v>
      </c>
      <c r="C154" s="3">
        <v>64</v>
      </c>
      <c r="D154" s="4">
        <v>16.319</v>
      </c>
      <c r="E154" s="4">
        <v>9.855</v>
      </c>
      <c r="F154" s="3"/>
      <c r="G154" s="5"/>
      <c r="H154" s="3"/>
      <c r="I154" s="5"/>
      <c r="J154" s="3"/>
      <c r="K154" s="5"/>
      <c r="L154" s="3"/>
      <c r="M154" s="5"/>
      <c r="N154" s="3"/>
      <c r="O154" s="5"/>
      <c r="P154" s="3"/>
      <c r="Q154" s="5"/>
      <c r="R154" s="3"/>
      <c r="S154" s="5"/>
      <c r="T154" s="5"/>
      <c r="U154" s="5">
        <v>0</v>
      </c>
      <c r="V154" s="5"/>
      <c r="W154" s="5" t="str">
        <f>G154+I154+K154+M154+O154+Q154+S154+T154+U154+Y154</f>
        <v>0</v>
      </c>
      <c r="X154" s="5">
        <v>11590493.888</v>
      </c>
      <c r="Y154" s="5" t="str">
        <f>W154+X154</f>
        <v>0</v>
      </c>
      <c r="Z154" s="5">
        <v>0</v>
      </c>
      <c r="AA154" s="5" t="str">
        <f>Z154*D154</f>
        <v>0</v>
      </c>
      <c r="AB154" s="5">
        <v>0</v>
      </c>
      <c r="AC154" s="5" t="str">
        <f>AA154*AB154</f>
        <v>0</v>
      </c>
      <c r="AD154" s="5" t="str">
        <f>AC154-Y154</f>
        <v>0</v>
      </c>
      <c r="AE154" s="3" t="s">
        <v>111</v>
      </c>
      <c r="AF154" s="2"/>
    </row>
    <row r="155" spans="1:32">
      <c r="A155" s="3" t="s">
        <v>206</v>
      </c>
      <c r="B155" s="3" t="s">
        <v>207</v>
      </c>
      <c r="C155" s="3">
        <v>99</v>
      </c>
      <c r="D155" s="4">
        <v>18.009</v>
      </c>
      <c r="E155" s="4">
        <v>7.051</v>
      </c>
      <c r="F155" s="3"/>
      <c r="G155" s="5"/>
      <c r="H155" s="3"/>
      <c r="I155" s="5"/>
      <c r="J155" s="3"/>
      <c r="K155" s="5"/>
      <c r="L155" s="3"/>
      <c r="M155" s="5"/>
      <c r="N155" s="3"/>
      <c r="O155" s="5"/>
      <c r="P155" s="3"/>
      <c r="Q155" s="5"/>
      <c r="R155" s="3"/>
      <c r="S155" s="5"/>
      <c r="T155" s="5"/>
      <c r="U155" s="5">
        <v>0</v>
      </c>
      <c r="V155" s="5"/>
      <c r="W155" s="5" t="str">
        <f>G155+I155+K155+M155+O155+Q155+S155+T155+U155+Y155</f>
        <v>0</v>
      </c>
      <c r="X155" s="5">
        <v>11440508.508</v>
      </c>
      <c r="Y155" s="5" t="str">
        <f>W155+X155</f>
        <v>0</v>
      </c>
      <c r="Z155" s="5">
        <v>0</v>
      </c>
      <c r="AA155" s="5" t="str">
        <f>Z155*D155</f>
        <v>0</v>
      </c>
      <c r="AB155" s="5">
        <v>0</v>
      </c>
      <c r="AC155" s="5" t="str">
        <f>AA155*AB155</f>
        <v>0</v>
      </c>
      <c r="AD155" s="5" t="str">
        <f>AC155-Y155</f>
        <v>0</v>
      </c>
      <c r="AE155" s="3" t="s">
        <v>169</v>
      </c>
      <c r="AF155" s="2"/>
    </row>
    <row r="156" spans="1:32">
      <c r="A156" s="3" t="s">
        <v>206</v>
      </c>
      <c r="B156" s="3" t="s">
        <v>208</v>
      </c>
      <c r="C156" s="3">
        <v>58</v>
      </c>
      <c r="D156" s="4">
        <v>18.407</v>
      </c>
      <c r="E156" s="4">
        <v>12.204</v>
      </c>
      <c r="F156" s="3"/>
      <c r="G156" s="5"/>
      <c r="H156" s="3"/>
      <c r="I156" s="5"/>
      <c r="J156" s="3"/>
      <c r="K156" s="5"/>
      <c r="L156" s="3"/>
      <c r="M156" s="5"/>
      <c r="N156" s="3"/>
      <c r="O156" s="5"/>
      <c r="P156" s="3"/>
      <c r="Q156" s="5"/>
      <c r="R156" s="3"/>
      <c r="S156" s="5"/>
      <c r="T156" s="5"/>
      <c r="U156" s="5">
        <v>0</v>
      </c>
      <c r="V156" s="5"/>
      <c r="W156" s="5" t="str">
        <f>G156+I156+K156+M156+O156+Q156+S156+T156+U156+Y156</f>
        <v>0</v>
      </c>
      <c r="X156" s="5">
        <v>6702520.136</v>
      </c>
      <c r="Y156" s="5" t="str">
        <f>W156+X156</f>
        <v>0</v>
      </c>
      <c r="Z156" s="5">
        <v>0</v>
      </c>
      <c r="AA156" s="5" t="str">
        <f>Z156*D156</f>
        <v>0</v>
      </c>
      <c r="AB156" s="5">
        <v>0</v>
      </c>
      <c r="AC156" s="5" t="str">
        <f>AA156*AB156</f>
        <v>0</v>
      </c>
      <c r="AD156" s="5" t="str">
        <f>AC156-Y156</f>
        <v>0</v>
      </c>
      <c r="AE156" s="3" t="s">
        <v>169</v>
      </c>
      <c r="AF156" s="2"/>
    </row>
    <row r="157" spans="1:32">
      <c r="A157" s="3" t="s">
        <v>206</v>
      </c>
      <c r="B157" s="3" t="s">
        <v>209</v>
      </c>
      <c r="C157" s="3">
        <v>332</v>
      </c>
      <c r="D157" s="4">
        <v>17.577</v>
      </c>
      <c r="E157" s="4">
        <v>2.111</v>
      </c>
      <c r="F157" s="3"/>
      <c r="G157" s="5"/>
      <c r="H157" s="3"/>
      <c r="I157" s="5"/>
      <c r="J157" s="3"/>
      <c r="K157" s="5"/>
      <c r="L157" s="3"/>
      <c r="M157" s="5"/>
      <c r="N157" s="3"/>
      <c r="O157" s="5"/>
      <c r="P157" s="3"/>
      <c r="Q157" s="5"/>
      <c r="R157" s="3"/>
      <c r="S157" s="5"/>
      <c r="T157" s="5"/>
      <c r="U157" s="5">
        <v>0</v>
      </c>
      <c r="V157" s="5"/>
      <c r="W157" s="5" t="str">
        <f>G157+I157+K157+M157+O157+Q157+S157+T157+U157+Y157</f>
        <v>0</v>
      </c>
      <c r="X157" s="5">
        <v>38366149.744</v>
      </c>
      <c r="Y157" s="5" t="str">
        <f>W157+X157</f>
        <v>0</v>
      </c>
      <c r="Z157" s="5">
        <v>0</v>
      </c>
      <c r="AA157" s="5" t="str">
        <f>Z157*D157</f>
        <v>0</v>
      </c>
      <c r="AB157" s="5">
        <v>0</v>
      </c>
      <c r="AC157" s="5" t="str">
        <f>AA157*AB157</f>
        <v>0</v>
      </c>
      <c r="AD157" s="5" t="str">
        <f>AC157-Y157</f>
        <v>0</v>
      </c>
      <c r="AE157" s="3" t="s">
        <v>169</v>
      </c>
      <c r="AF157" s="2"/>
    </row>
    <row r="158" spans="1:32">
      <c r="A158" s="3" t="s">
        <v>206</v>
      </c>
      <c r="B158" s="3" t="s">
        <v>210</v>
      </c>
      <c r="C158" s="3">
        <v>319</v>
      </c>
      <c r="D158" s="4">
        <v>17.573</v>
      </c>
      <c r="E158" s="4">
        <v>2.191</v>
      </c>
      <c r="F158" s="3"/>
      <c r="G158" s="5"/>
      <c r="H158" s="3"/>
      <c r="I158" s="5"/>
      <c r="J158" s="3"/>
      <c r="K158" s="5"/>
      <c r="L158" s="3"/>
      <c r="M158" s="5"/>
      <c r="N158" s="3"/>
      <c r="O158" s="5"/>
      <c r="P158" s="3"/>
      <c r="Q158" s="5"/>
      <c r="R158" s="3"/>
      <c r="S158" s="5"/>
      <c r="T158" s="5"/>
      <c r="U158" s="5">
        <v>0</v>
      </c>
      <c r="V158" s="5"/>
      <c r="W158" s="5" t="str">
        <f>G158+I158+K158+M158+O158+Q158+S158+T158+U158+Y158</f>
        <v>0</v>
      </c>
      <c r="X158" s="5">
        <v>36863860.748</v>
      </c>
      <c r="Y158" s="5" t="str">
        <f>W158+X158</f>
        <v>0</v>
      </c>
      <c r="Z158" s="5">
        <v>0</v>
      </c>
      <c r="AA158" s="5" t="str">
        <f>Z158*D158</f>
        <v>0</v>
      </c>
      <c r="AB158" s="5">
        <v>0</v>
      </c>
      <c r="AC158" s="5" t="str">
        <f>AA158*AB158</f>
        <v>0</v>
      </c>
      <c r="AD158" s="5" t="str">
        <f>AC158-Y158</f>
        <v>0</v>
      </c>
      <c r="AE158" s="3" t="s">
        <v>169</v>
      </c>
      <c r="AF158" s="2"/>
    </row>
    <row r="159" spans="1:32">
      <c r="A159" s="3" t="s">
        <v>206</v>
      </c>
      <c r="B159" s="3" t="s">
        <v>211</v>
      </c>
      <c r="C159" s="3">
        <v>58</v>
      </c>
      <c r="D159" s="4">
        <v>18.171</v>
      </c>
      <c r="E159" s="4">
        <v>12.055</v>
      </c>
      <c r="F159" s="3"/>
      <c r="G159" s="5"/>
      <c r="H159" s="3"/>
      <c r="I159" s="5"/>
      <c r="J159" s="3"/>
      <c r="K159" s="5"/>
      <c r="L159" s="3"/>
      <c r="M159" s="5"/>
      <c r="N159" s="3"/>
      <c r="O159" s="5"/>
      <c r="P159" s="3"/>
      <c r="Q159" s="5"/>
      <c r="R159" s="3"/>
      <c r="S159" s="5"/>
      <c r="T159" s="5"/>
      <c r="U159" s="5">
        <v>0</v>
      </c>
      <c r="V159" s="5"/>
      <c r="W159" s="5" t="str">
        <f>G159+I159+K159+M159+O159+Q159+S159+T159+U159+Y159</f>
        <v>0</v>
      </c>
      <c r="X159" s="5">
        <v>6702520.136</v>
      </c>
      <c r="Y159" s="5" t="str">
        <f>W159+X159</f>
        <v>0</v>
      </c>
      <c r="Z159" s="5">
        <v>0</v>
      </c>
      <c r="AA159" s="5" t="str">
        <f>Z159*D159</f>
        <v>0</v>
      </c>
      <c r="AB159" s="5">
        <v>0</v>
      </c>
      <c r="AC159" s="5" t="str">
        <f>AA159*AB159</f>
        <v>0</v>
      </c>
      <c r="AD159" s="5" t="str">
        <f>AC159-Y159</f>
        <v>0</v>
      </c>
      <c r="AE159" s="3" t="s">
        <v>169</v>
      </c>
      <c r="AF159" s="2"/>
    </row>
    <row r="160" spans="1:32">
      <c r="A160" s="3" t="s">
        <v>212</v>
      </c>
      <c r="B160" s="3" t="s">
        <v>213</v>
      </c>
      <c r="C160" s="3">
        <v>96</v>
      </c>
      <c r="D160" s="4">
        <v>18.167</v>
      </c>
      <c r="E160" s="4">
        <v>7.313</v>
      </c>
      <c r="F160" s="3"/>
      <c r="G160" s="5"/>
      <c r="H160" s="3"/>
      <c r="I160" s="5"/>
      <c r="J160" s="3"/>
      <c r="K160" s="5"/>
      <c r="L160" s="3"/>
      <c r="M160" s="5"/>
      <c r="N160" s="3"/>
      <c r="O160" s="5"/>
      <c r="P160" s="3"/>
      <c r="Q160" s="5"/>
      <c r="R160" s="3"/>
      <c r="S160" s="5"/>
      <c r="T160" s="5"/>
      <c r="U160" s="5">
        <v>0</v>
      </c>
      <c r="V160" s="5"/>
      <c r="W160" s="5" t="str">
        <f>G160+I160+K160+M160+O160+Q160+S160+T160+U160+Y160</f>
        <v>0</v>
      </c>
      <c r="X160" s="5">
        <v>11602100.256</v>
      </c>
      <c r="Y160" s="5" t="str">
        <f>W160+X160</f>
        <v>0</v>
      </c>
      <c r="Z160" s="5">
        <v>0</v>
      </c>
      <c r="AA160" s="5" t="str">
        <f>Z160*D160</f>
        <v>0</v>
      </c>
      <c r="AB160" s="5">
        <v>0</v>
      </c>
      <c r="AC160" s="5" t="str">
        <f>AA160*AB160</f>
        <v>0</v>
      </c>
      <c r="AD160" s="5" t="str">
        <f>AC160-Y160</f>
        <v>0</v>
      </c>
      <c r="AE160" s="3" t="s">
        <v>111</v>
      </c>
      <c r="AF160" s="2"/>
    </row>
    <row r="161" spans="1:32">
      <c r="A161" s="3" t="s">
        <v>212</v>
      </c>
      <c r="B161" s="3" t="s">
        <v>214</v>
      </c>
      <c r="C161" s="3">
        <v>64</v>
      </c>
      <c r="D161" s="4">
        <v>17.961</v>
      </c>
      <c r="E161" s="4">
        <v>10.833</v>
      </c>
      <c r="F161" s="3"/>
      <c r="G161" s="5"/>
      <c r="H161" s="3"/>
      <c r="I161" s="5"/>
      <c r="J161" s="3"/>
      <c r="K161" s="5"/>
      <c r="L161" s="3"/>
      <c r="M161" s="5"/>
      <c r="N161" s="3"/>
      <c r="O161" s="5"/>
      <c r="P161" s="3"/>
      <c r="Q161" s="5"/>
      <c r="R161" s="3"/>
      <c r="S161" s="5"/>
      <c r="T161" s="5"/>
      <c r="U161" s="5">
        <v>0</v>
      </c>
      <c r="V161" s="5"/>
      <c r="W161" s="5" t="str">
        <f>G161+I161+K161+M161+O161+Q161+S161+T161+U161+Y161</f>
        <v>0</v>
      </c>
      <c r="X161" s="5">
        <v>7734733.504</v>
      </c>
      <c r="Y161" s="5" t="str">
        <f>W161+X161</f>
        <v>0</v>
      </c>
      <c r="Z161" s="5">
        <v>0</v>
      </c>
      <c r="AA161" s="5" t="str">
        <f>Z161*D161</f>
        <v>0</v>
      </c>
      <c r="AB161" s="5">
        <v>0</v>
      </c>
      <c r="AC161" s="5" t="str">
        <f>AA161*AB161</f>
        <v>0</v>
      </c>
      <c r="AD161" s="5" t="str">
        <f>AC161-Y161</f>
        <v>0</v>
      </c>
      <c r="AE161" s="3" t="s">
        <v>111</v>
      </c>
      <c r="AF161" s="2"/>
    </row>
    <row r="162" spans="1:32">
      <c r="A162" s="3" t="s">
        <v>212</v>
      </c>
      <c r="B162" s="3" t="s">
        <v>215</v>
      </c>
      <c r="C162" s="3">
        <v>367</v>
      </c>
      <c r="D162" s="4">
        <v>17.316</v>
      </c>
      <c r="E162" s="4">
        <v>1.892</v>
      </c>
      <c r="F162" s="3"/>
      <c r="G162" s="5"/>
      <c r="H162" s="3"/>
      <c r="I162" s="5"/>
      <c r="J162" s="3"/>
      <c r="K162" s="5"/>
      <c r="L162" s="3"/>
      <c r="M162" s="5"/>
      <c r="N162" s="3"/>
      <c r="O162" s="5"/>
      <c r="P162" s="3"/>
      <c r="Q162" s="5"/>
      <c r="R162" s="3"/>
      <c r="S162" s="5"/>
      <c r="T162" s="5"/>
      <c r="U162" s="5">
        <v>0</v>
      </c>
      <c r="V162" s="5"/>
      <c r="W162" s="5" t="str">
        <f>G162+I162+K162+M162+O162+Q162+S162+T162+U162+Y162</f>
        <v>0</v>
      </c>
      <c r="X162" s="5">
        <v>44353862.437</v>
      </c>
      <c r="Y162" s="5" t="str">
        <f>W162+X162</f>
        <v>0</v>
      </c>
      <c r="Z162" s="5">
        <v>0</v>
      </c>
      <c r="AA162" s="5" t="str">
        <f>Z162*D162</f>
        <v>0</v>
      </c>
      <c r="AB162" s="5">
        <v>0</v>
      </c>
      <c r="AC162" s="5" t="str">
        <f>AA162*AB162</f>
        <v>0</v>
      </c>
      <c r="AD162" s="5" t="str">
        <f>AC162-Y162</f>
        <v>0</v>
      </c>
      <c r="AE162" s="3" t="s">
        <v>111</v>
      </c>
      <c r="AF162" s="2"/>
    </row>
    <row r="163" spans="1:32">
      <c r="A163" s="3" t="s">
        <v>212</v>
      </c>
      <c r="B163" s="3" t="s">
        <v>216</v>
      </c>
      <c r="C163" s="3">
        <v>48</v>
      </c>
      <c r="D163" s="4">
        <v>18.29</v>
      </c>
      <c r="E163" s="4">
        <v>14.553</v>
      </c>
      <c r="F163" s="3"/>
      <c r="G163" s="5"/>
      <c r="H163" s="3"/>
      <c r="I163" s="5"/>
      <c r="J163" s="3"/>
      <c r="K163" s="5"/>
      <c r="L163" s="3"/>
      <c r="M163" s="5"/>
      <c r="N163" s="3"/>
      <c r="O163" s="5"/>
      <c r="P163" s="3"/>
      <c r="Q163" s="5"/>
      <c r="R163" s="3"/>
      <c r="S163" s="5"/>
      <c r="T163" s="5"/>
      <c r="U163" s="5">
        <v>0</v>
      </c>
      <c r="V163" s="5"/>
      <c r="W163" s="5" t="str">
        <f>G163+I163+K163+M163+O163+Q163+S163+T163+U163+Y163</f>
        <v>0</v>
      </c>
      <c r="X163" s="5">
        <v>5801050.128</v>
      </c>
      <c r="Y163" s="5" t="str">
        <f>W163+X163</f>
        <v>0</v>
      </c>
      <c r="Z163" s="5">
        <v>0</v>
      </c>
      <c r="AA163" s="5" t="str">
        <f>Z163*D163</f>
        <v>0</v>
      </c>
      <c r="AB163" s="5">
        <v>0</v>
      </c>
      <c r="AC163" s="5" t="str">
        <f>AA163*AB163</f>
        <v>0</v>
      </c>
      <c r="AD163" s="5" t="str">
        <f>AC163-Y163</f>
        <v>0</v>
      </c>
      <c r="AE163" s="3" t="s">
        <v>111</v>
      </c>
      <c r="AF163" s="2"/>
    </row>
    <row r="164" spans="1:32">
      <c r="A164" s="3" t="s">
        <v>212</v>
      </c>
      <c r="B164" s="3" t="s">
        <v>217</v>
      </c>
      <c r="C164" s="3">
        <v>67</v>
      </c>
      <c r="D164" s="4">
        <v>18.027</v>
      </c>
      <c r="E164" s="4">
        <v>10.405</v>
      </c>
      <c r="F164" s="3"/>
      <c r="G164" s="5"/>
      <c r="H164" s="3"/>
      <c r="I164" s="5"/>
      <c r="J164" s="3"/>
      <c r="K164" s="5"/>
      <c r="L164" s="3"/>
      <c r="M164" s="5"/>
      <c r="N164" s="3"/>
      <c r="O164" s="5"/>
      <c r="P164" s="3"/>
      <c r="Q164" s="5"/>
      <c r="R164" s="3"/>
      <c r="S164" s="5"/>
      <c r="T164" s="5"/>
      <c r="U164" s="5">
        <v>0</v>
      </c>
      <c r="V164" s="5"/>
      <c r="W164" s="5" t="str">
        <f>G164+I164+K164+M164+O164+Q164+S164+T164+U164+Y164</f>
        <v>0</v>
      </c>
      <c r="X164" s="5">
        <v>8097299.137</v>
      </c>
      <c r="Y164" s="5" t="str">
        <f>W164+X164</f>
        <v>0</v>
      </c>
      <c r="Z164" s="5">
        <v>0</v>
      </c>
      <c r="AA164" s="5" t="str">
        <f>Z164*D164</f>
        <v>0</v>
      </c>
      <c r="AB164" s="5">
        <v>0</v>
      </c>
      <c r="AC164" s="5" t="str">
        <f>AA164*AB164</f>
        <v>0</v>
      </c>
      <c r="AD164" s="5" t="str">
        <f>AC164-Y164</f>
        <v>0</v>
      </c>
      <c r="AE164" s="3" t="s">
        <v>111</v>
      </c>
      <c r="AF164" s="2"/>
    </row>
    <row r="165" spans="1:32">
      <c r="A165" s="3" t="s">
        <v>212</v>
      </c>
      <c r="B165" s="3" t="s">
        <v>218</v>
      </c>
      <c r="C165" s="3">
        <v>386</v>
      </c>
      <c r="D165" s="4">
        <v>17.451</v>
      </c>
      <c r="E165" s="4">
        <v>1.819</v>
      </c>
      <c r="F165" s="3"/>
      <c r="G165" s="5"/>
      <c r="H165" s="3"/>
      <c r="I165" s="5"/>
      <c r="J165" s="3"/>
      <c r="K165" s="5"/>
      <c r="L165" s="3"/>
      <c r="M165" s="5"/>
      <c r="N165" s="3"/>
      <c r="O165" s="5"/>
      <c r="P165" s="3"/>
      <c r="Q165" s="5"/>
      <c r="R165" s="3"/>
      <c r="S165" s="5"/>
      <c r="T165" s="5"/>
      <c r="U165" s="5">
        <v>0</v>
      </c>
      <c r="V165" s="5"/>
      <c r="W165" s="5" t="str">
        <f>G165+I165+K165+M165+O165+Q165+S165+T165+U165+Y165</f>
        <v>0</v>
      </c>
      <c r="X165" s="5">
        <v>46650111.446</v>
      </c>
      <c r="Y165" s="5" t="str">
        <f>W165+X165</f>
        <v>0</v>
      </c>
      <c r="Z165" s="5">
        <v>0</v>
      </c>
      <c r="AA165" s="5" t="str">
        <f>Z165*D165</f>
        <v>0</v>
      </c>
      <c r="AB165" s="5">
        <v>0</v>
      </c>
      <c r="AC165" s="5" t="str">
        <f>AA165*AB165</f>
        <v>0</v>
      </c>
      <c r="AD165" s="5" t="str">
        <f>AC165-Y165</f>
        <v>0</v>
      </c>
      <c r="AE165" s="3" t="s">
        <v>111</v>
      </c>
      <c r="AF165" s="2"/>
    </row>
    <row r="166" spans="1:32">
      <c r="A166" s="3" t="s">
        <v>219</v>
      </c>
      <c r="B166" s="3" t="s">
        <v>220</v>
      </c>
      <c r="C166" s="3">
        <v>61</v>
      </c>
      <c r="D166" s="4">
        <v>18.086</v>
      </c>
      <c r="E166" s="4">
        <v>11.399</v>
      </c>
      <c r="F166" s="3"/>
      <c r="G166" s="5"/>
      <c r="H166" s="3"/>
      <c r="I166" s="5"/>
      <c r="J166" s="3"/>
      <c r="K166" s="5"/>
      <c r="L166" s="3"/>
      <c r="M166" s="5"/>
      <c r="N166" s="3"/>
      <c r="O166" s="5"/>
      <c r="P166" s="3"/>
      <c r="Q166" s="5"/>
      <c r="R166" s="3"/>
      <c r="S166" s="5"/>
      <c r="T166" s="5"/>
      <c r="U166" s="5">
        <v>0</v>
      </c>
      <c r="V166" s="5"/>
      <c r="W166" s="5" t="str">
        <f>G166+I166+K166+M166+O166+Q166+S166+T166+U166+Y166</f>
        <v>0</v>
      </c>
      <c r="X166" s="5">
        <v>22622829.599</v>
      </c>
      <c r="Y166" s="5" t="str">
        <f>W166+X166</f>
        <v>0</v>
      </c>
      <c r="Z166" s="5">
        <v>0</v>
      </c>
      <c r="AA166" s="5" t="str">
        <f>Z166*D166</f>
        <v>0</v>
      </c>
      <c r="AB166" s="5">
        <v>0</v>
      </c>
      <c r="AC166" s="5" t="str">
        <f>AA166*AB166</f>
        <v>0</v>
      </c>
      <c r="AD166" s="5" t="str">
        <f>AC166-Y166</f>
        <v>0</v>
      </c>
      <c r="AE166" s="3" t="s">
        <v>169</v>
      </c>
      <c r="AF166" s="2"/>
    </row>
    <row r="167" spans="1:32">
      <c r="A167" s="3" t="s">
        <v>219</v>
      </c>
      <c r="B167" s="3" t="s">
        <v>221</v>
      </c>
      <c r="C167" s="3">
        <v>101</v>
      </c>
      <c r="D167" s="4">
        <v>18.305</v>
      </c>
      <c r="E167" s="4">
        <v>7.025</v>
      </c>
      <c r="F167" s="3"/>
      <c r="G167" s="5"/>
      <c r="H167" s="3"/>
      <c r="I167" s="5"/>
      <c r="J167" s="3"/>
      <c r="K167" s="5"/>
      <c r="L167" s="3"/>
      <c r="M167" s="5"/>
      <c r="N167" s="3"/>
      <c r="O167" s="5"/>
      <c r="P167" s="3"/>
      <c r="Q167" s="5"/>
      <c r="R167" s="3"/>
      <c r="S167" s="5"/>
      <c r="T167" s="5"/>
      <c r="U167" s="5">
        <v>0</v>
      </c>
      <c r="V167" s="5"/>
      <c r="W167" s="5" t="str">
        <f>G167+I167+K167+M167+O167+Q167+S167+T167+U167+Y167</f>
        <v>0</v>
      </c>
      <c r="X167" s="5">
        <v>25648789.511</v>
      </c>
      <c r="Y167" s="5" t="str">
        <f>W167+X167</f>
        <v>0</v>
      </c>
      <c r="Z167" s="5">
        <v>0</v>
      </c>
      <c r="AA167" s="5" t="str">
        <f>Z167*D167</f>
        <v>0</v>
      </c>
      <c r="AB167" s="5">
        <v>0</v>
      </c>
      <c r="AC167" s="5" t="str">
        <f>AA167*AB167</f>
        <v>0</v>
      </c>
      <c r="AD167" s="5" t="str">
        <f>AC167-Y167</f>
        <v>0</v>
      </c>
      <c r="AE167" s="3" t="s">
        <v>169</v>
      </c>
      <c r="AF167" s="2"/>
    </row>
    <row r="168" spans="1:32">
      <c r="A168" s="3" t="s">
        <v>219</v>
      </c>
      <c r="B168" s="3" t="s">
        <v>222</v>
      </c>
      <c r="C168" s="3">
        <v>66</v>
      </c>
      <c r="D168" s="4">
        <v>16.814</v>
      </c>
      <c r="E168" s="4">
        <v>9.828</v>
      </c>
      <c r="F168" s="3"/>
      <c r="G168" s="5"/>
      <c r="H168" s="3"/>
      <c r="I168" s="5"/>
      <c r="J168" s="3"/>
      <c r="K168" s="5"/>
      <c r="L168" s="3"/>
      <c r="M168" s="5"/>
      <c r="N168" s="3"/>
      <c r="O168" s="5"/>
      <c r="P168" s="3"/>
      <c r="Q168" s="5"/>
      <c r="R168" s="3"/>
      <c r="S168" s="5"/>
      <c r="T168" s="5"/>
      <c r="U168" s="5">
        <v>0</v>
      </c>
      <c r="V168" s="5"/>
      <c r="W168" s="5" t="str">
        <f>G168+I168+K168+M168+O168+Q168+S168+T168+U168+Y168</f>
        <v>0</v>
      </c>
      <c r="X168" s="5">
        <v>24477159.894</v>
      </c>
      <c r="Y168" s="5" t="str">
        <f>W168+X168</f>
        <v>0</v>
      </c>
      <c r="Z168" s="5">
        <v>0</v>
      </c>
      <c r="AA168" s="5" t="str">
        <f>Z168*D168</f>
        <v>0</v>
      </c>
      <c r="AB168" s="5">
        <v>0</v>
      </c>
      <c r="AC168" s="5" t="str">
        <f>AA168*AB168</f>
        <v>0</v>
      </c>
      <c r="AD168" s="5" t="str">
        <f>AC168-Y168</f>
        <v>0</v>
      </c>
      <c r="AE168" s="3" t="s">
        <v>169</v>
      </c>
      <c r="AF168" s="2"/>
    </row>
    <row r="169" spans="1:32">
      <c r="A169" s="3" t="s">
        <v>219</v>
      </c>
      <c r="B169" s="3" t="s">
        <v>223</v>
      </c>
      <c r="C169" s="3">
        <v>284</v>
      </c>
      <c r="D169" s="4">
        <v>17.613</v>
      </c>
      <c r="E169" s="4">
        <v>2.457</v>
      </c>
      <c r="F169" s="3"/>
      <c r="G169" s="5"/>
      <c r="H169" s="3"/>
      <c r="I169" s="5"/>
      <c r="J169" s="3"/>
      <c r="K169" s="5"/>
      <c r="L169" s="3"/>
      <c r="M169" s="5"/>
      <c r="N169" s="3"/>
      <c r="O169" s="5"/>
      <c r="P169" s="3"/>
      <c r="Q169" s="5"/>
      <c r="R169" s="3"/>
      <c r="S169" s="5"/>
      <c r="T169" s="5"/>
      <c r="U169" s="5">
        <v>0</v>
      </c>
      <c r="V169" s="5"/>
      <c r="W169" s="5" t="str">
        <f>G169+I169+K169+M169+O169+Q169+S169+T169+U169+Y169</f>
        <v>0</v>
      </c>
      <c r="X169" s="5">
        <v>16809761.484</v>
      </c>
      <c r="Y169" s="5" t="str">
        <f>W169+X169</f>
        <v>0</v>
      </c>
      <c r="Z169" s="5">
        <v>0</v>
      </c>
      <c r="AA169" s="5" t="str">
        <f>Z169*D169</f>
        <v>0</v>
      </c>
      <c r="AB169" s="5">
        <v>0</v>
      </c>
      <c r="AC169" s="5" t="str">
        <f>AA169*AB169</f>
        <v>0</v>
      </c>
      <c r="AD169" s="5" t="str">
        <f>AC169-Y169</f>
        <v>0</v>
      </c>
      <c r="AE169" s="3" t="s">
        <v>169</v>
      </c>
      <c r="AF169" s="2"/>
    </row>
    <row r="170" spans="1:32">
      <c r="A170" s="3" t="s">
        <v>219</v>
      </c>
      <c r="B170" s="3" t="s">
        <v>224</v>
      </c>
      <c r="C170" s="3">
        <v>143</v>
      </c>
      <c r="D170" s="4">
        <v>8.292</v>
      </c>
      <c r="E170" s="4">
        <v>2.301</v>
      </c>
      <c r="F170" s="3"/>
      <c r="G170" s="5"/>
      <c r="H170" s="3"/>
      <c r="I170" s="5"/>
      <c r="J170" s="3"/>
      <c r="K170" s="5"/>
      <c r="L170" s="3"/>
      <c r="M170" s="5"/>
      <c r="N170" s="3"/>
      <c r="O170" s="5"/>
      <c r="P170" s="3"/>
      <c r="Q170" s="5"/>
      <c r="R170" s="3"/>
      <c r="S170" s="5"/>
      <c r="T170" s="5"/>
      <c r="U170" s="5">
        <v>0</v>
      </c>
      <c r="V170" s="5"/>
      <c r="W170" s="5" t="str">
        <f>G170+I170+K170+M170+O170+Q170+S170+T170+U170+Y170</f>
        <v>0</v>
      </c>
      <c r="X170" s="5">
        <v>8464070.043</v>
      </c>
      <c r="Y170" s="5" t="str">
        <f>W170+X170</f>
        <v>0</v>
      </c>
      <c r="Z170" s="5">
        <v>0</v>
      </c>
      <c r="AA170" s="5" t="str">
        <f>Z170*D170</f>
        <v>0</v>
      </c>
      <c r="AB170" s="5">
        <v>0</v>
      </c>
      <c r="AC170" s="5" t="str">
        <f>AA170*AB170</f>
        <v>0</v>
      </c>
      <c r="AD170" s="5" t="str">
        <f>AC170-Y170</f>
        <v>0</v>
      </c>
      <c r="AE170" s="3" t="s">
        <v>169</v>
      </c>
      <c r="AF170" s="2"/>
    </row>
    <row r="171" spans="1:32">
      <c r="A171" s="3" t="s">
        <v>219</v>
      </c>
      <c r="B171" s="3" t="s">
        <v>225</v>
      </c>
      <c r="C171" s="3">
        <v>43</v>
      </c>
      <c r="D171" s="4">
        <v>9.798</v>
      </c>
      <c r="E171" s="4">
        <v>8.818</v>
      </c>
      <c r="F171" s="3"/>
      <c r="G171" s="5"/>
      <c r="H171" s="3"/>
      <c r="I171" s="5"/>
      <c r="J171" s="3"/>
      <c r="K171" s="5"/>
      <c r="L171" s="3"/>
      <c r="M171" s="5"/>
      <c r="N171" s="3"/>
      <c r="O171" s="5"/>
      <c r="P171" s="3"/>
      <c r="Q171" s="5"/>
      <c r="R171" s="3"/>
      <c r="S171" s="5"/>
      <c r="T171" s="5"/>
      <c r="U171" s="5">
        <v>0</v>
      </c>
      <c r="V171" s="5"/>
      <c r="W171" s="5" t="str">
        <f>G171+I171+K171+M171+O171+Q171+S171+T171+U171+Y171</f>
        <v>0</v>
      </c>
      <c r="X171" s="5">
        <v>15947240.537</v>
      </c>
      <c r="Y171" s="5" t="str">
        <f>W171+X171</f>
        <v>0</v>
      </c>
      <c r="Z171" s="5">
        <v>0</v>
      </c>
      <c r="AA171" s="5" t="str">
        <f>Z171*D171</f>
        <v>0</v>
      </c>
      <c r="AB171" s="5">
        <v>0</v>
      </c>
      <c r="AC171" s="5" t="str">
        <f>AA171*AB171</f>
        <v>0</v>
      </c>
      <c r="AD171" s="5" t="str">
        <f>AC171-Y171</f>
        <v>0</v>
      </c>
      <c r="AE171" s="3" t="s">
        <v>169</v>
      </c>
      <c r="AF171" s="2"/>
    </row>
    <row r="172" spans="1:32">
      <c r="A172" s="3" t="s">
        <v>226</v>
      </c>
      <c r="B172" s="3" t="s">
        <v>227</v>
      </c>
      <c r="C172" s="3">
        <v>88</v>
      </c>
      <c r="D172" s="4">
        <v>17.41</v>
      </c>
      <c r="E172" s="4">
        <v>7.59</v>
      </c>
      <c r="F172" s="3"/>
      <c r="G172" s="5"/>
      <c r="H172" s="3"/>
      <c r="I172" s="5"/>
      <c r="J172" s="3"/>
      <c r="K172" s="5"/>
      <c r="L172" s="3"/>
      <c r="M172" s="5"/>
      <c r="N172" s="3"/>
      <c r="O172" s="5"/>
      <c r="P172" s="3"/>
      <c r="Q172" s="5"/>
      <c r="R172" s="3"/>
      <c r="S172" s="5"/>
      <c r="T172" s="5"/>
      <c r="U172" s="5">
        <v>0</v>
      </c>
      <c r="V172" s="5"/>
      <c r="W172" s="5" t="str">
        <f>G172+I172+K172+M172+O172+Q172+S172+T172+U172+Y172</f>
        <v>0</v>
      </c>
      <c r="X172" s="5">
        <v>10268132.248</v>
      </c>
      <c r="Y172" s="5" t="str">
        <f>W172+X172</f>
        <v>0</v>
      </c>
      <c r="Z172" s="5">
        <v>0</v>
      </c>
      <c r="AA172" s="5" t="str">
        <f>Z172*D172</f>
        <v>0</v>
      </c>
      <c r="AB172" s="5">
        <v>0</v>
      </c>
      <c r="AC172" s="5" t="str">
        <f>AA172*AB172</f>
        <v>0</v>
      </c>
      <c r="AD172" s="5" t="str">
        <f>AC172-Y172</f>
        <v>0</v>
      </c>
      <c r="AE172" s="3" t="s">
        <v>111</v>
      </c>
      <c r="AF172" s="2"/>
    </row>
    <row r="173" spans="1:32">
      <c r="A173" s="3" t="s">
        <v>226</v>
      </c>
      <c r="B173" s="3" t="s">
        <v>228</v>
      </c>
      <c r="C173" s="3">
        <v>330</v>
      </c>
      <c r="D173" s="4">
        <v>17.568</v>
      </c>
      <c r="E173" s="4">
        <v>2.122</v>
      </c>
      <c r="F173" s="3"/>
      <c r="G173" s="5"/>
      <c r="H173" s="3"/>
      <c r="I173" s="5"/>
      <c r="J173" s="3"/>
      <c r="K173" s="5"/>
      <c r="L173" s="3"/>
      <c r="M173" s="5"/>
      <c r="N173" s="3"/>
      <c r="O173" s="5"/>
      <c r="P173" s="3"/>
      <c r="Q173" s="5"/>
      <c r="R173" s="3"/>
      <c r="S173" s="5"/>
      <c r="T173" s="5"/>
      <c r="U173" s="5">
        <v>0</v>
      </c>
      <c r="V173" s="5"/>
      <c r="W173" s="5" t="str">
        <f>G173+I173+K173+M173+O173+Q173+S173+T173+U173+Y173</f>
        <v>0</v>
      </c>
      <c r="X173" s="5">
        <v>38505495.93</v>
      </c>
      <c r="Y173" s="5" t="str">
        <f>W173+X173</f>
        <v>0</v>
      </c>
      <c r="Z173" s="5">
        <v>0</v>
      </c>
      <c r="AA173" s="5" t="str">
        <f>Z173*D173</f>
        <v>0</v>
      </c>
      <c r="AB173" s="5">
        <v>0</v>
      </c>
      <c r="AC173" s="5" t="str">
        <f>AA173*AB173</f>
        <v>0</v>
      </c>
      <c r="AD173" s="5" t="str">
        <f>AC173-Y173</f>
        <v>0</v>
      </c>
      <c r="AE173" s="3" t="s">
        <v>111</v>
      </c>
      <c r="AF173" s="2"/>
    </row>
    <row r="174" spans="1:32">
      <c r="A174" s="3" t="s">
        <v>226</v>
      </c>
      <c r="B174" s="3" t="s">
        <v>229</v>
      </c>
      <c r="C174" s="3">
        <v>339</v>
      </c>
      <c r="D174" s="4">
        <v>17.441</v>
      </c>
      <c r="E174" s="4">
        <v>2.055</v>
      </c>
      <c r="F174" s="3"/>
      <c r="G174" s="5"/>
      <c r="H174" s="3"/>
      <c r="I174" s="5"/>
      <c r="J174" s="3"/>
      <c r="K174" s="5"/>
      <c r="L174" s="3"/>
      <c r="M174" s="5"/>
      <c r="N174" s="3"/>
      <c r="O174" s="5"/>
      <c r="P174" s="3"/>
      <c r="Q174" s="5"/>
      <c r="R174" s="3"/>
      <c r="S174" s="5"/>
      <c r="T174" s="5"/>
      <c r="U174" s="5">
        <v>0</v>
      </c>
      <c r="V174" s="5"/>
      <c r="W174" s="5" t="str">
        <f>G174+I174+K174+M174+O174+Q174+S174+T174+U174+Y174</f>
        <v>0</v>
      </c>
      <c r="X174" s="5">
        <v>39555645.819</v>
      </c>
      <c r="Y174" s="5" t="str">
        <f>W174+X174</f>
        <v>0</v>
      </c>
      <c r="Z174" s="5">
        <v>0</v>
      </c>
      <c r="AA174" s="5" t="str">
        <f>Z174*D174</f>
        <v>0</v>
      </c>
      <c r="AB174" s="5">
        <v>0</v>
      </c>
      <c r="AC174" s="5" t="str">
        <f>AA174*AB174</f>
        <v>0</v>
      </c>
      <c r="AD174" s="5" t="str">
        <f>AC174-Y174</f>
        <v>0</v>
      </c>
      <c r="AE174" s="3" t="s">
        <v>111</v>
      </c>
      <c r="AF174" s="2"/>
    </row>
    <row r="175" spans="1:32">
      <c r="A175" s="3" t="s">
        <v>226</v>
      </c>
      <c r="B175" s="3" t="s">
        <v>230</v>
      </c>
      <c r="C175" s="3">
        <v>57</v>
      </c>
      <c r="D175" s="4">
        <v>16.362</v>
      </c>
      <c r="E175" s="4">
        <v>11.034</v>
      </c>
      <c r="F175" s="3"/>
      <c r="G175" s="5"/>
      <c r="H175" s="3"/>
      <c r="I175" s="5"/>
      <c r="J175" s="3"/>
      <c r="K175" s="5"/>
      <c r="L175" s="3"/>
      <c r="M175" s="5"/>
      <c r="N175" s="3"/>
      <c r="O175" s="5"/>
      <c r="P175" s="3"/>
      <c r="Q175" s="5"/>
      <c r="R175" s="3"/>
      <c r="S175" s="5"/>
      <c r="T175" s="5"/>
      <c r="U175" s="5">
        <v>0</v>
      </c>
      <c r="V175" s="5"/>
      <c r="W175" s="5" t="str">
        <f>G175+I175+K175+M175+O175+Q175+S175+T175+U175+Y175</f>
        <v>0</v>
      </c>
      <c r="X175" s="5">
        <v>6650949.297</v>
      </c>
      <c r="Y175" s="5" t="str">
        <f>W175+X175</f>
        <v>0</v>
      </c>
      <c r="Z175" s="5">
        <v>0</v>
      </c>
      <c r="AA175" s="5" t="str">
        <f>Z175*D175</f>
        <v>0</v>
      </c>
      <c r="AB175" s="5">
        <v>0</v>
      </c>
      <c r="AC175" s="5" t="str">
        <f>AA175*AB175</f>
        <v>0</v>
      </c>
      <c r="AD175" s="5" t="str">
        <f>AC175-Y175</f>
        <v>0</v>
      </c>
      <c r="AE175" s="3" t="s">
        <v>111</v>
      </c>
      <c r="AF175" s="2"/>
    </row>
    <row r="176" spans="1:32">
      <c r="A176" s="3" t="s">
        <v>226</v>
      </c>
      <c r="B176" s="3" t="s">
        <v>231</v>
      </c>
      <c r="C176" s="3">
        <v>316</v>
      </c>
      <c r="D176" s="4">
        <v>17.437</v>
      </c>
      <c r="E176" s="4">
        <v>2.196</v>
      </c>
      <c r="F176" s="3"/>
      <c r="G176" s="5"/>
      <c r="H176" s="3"/>
      <c r="I176" s="5"/>
      <c r="J176" s="3"/>
      <c r="K176" s="5"/>
      <c r="L176" s="3"/>
      <c r="M176" s="5"/>
      <c r="N176" s="3"/>
      <c r="O176" s="5"/>
      <c r="P176" s="3"/>
      <c r="Q176" s="5"/>
      <c r="R176" s="3"/>
      <c r="S176" s="5"/>
      <c r="T176" s="5"/>
      <c r="U176" s="5">
        <v>0</v>
      </c>
      <c r="V176" s="5"/>
      <c r="W176" s="5" t="str">
        <f>G176+I176+K176+M176+O176+Q176+S176+T176+U176+Y176</f>
        <v>0</v>
      </c>
      <c r="X176" s="5">
        <v>36871929.436</v>
      </c>
      <c r="Y176" s="5" t="str">
        <f>W176+X176</f>
        <v>0</v>
      </c>
      <c r="Z176" s="5">
        <v>0</v>
      </c>
      <c r="AA176" s="5" t="str">
        <f>Z176*D176</f>
        <v>0</v>
      </c>
      <c r="AB176" s="5">
        <v>0</v>
      </c>
      <c r="AC176" s="5" t="str">
        <f>AA176*AB176</f>
        <v>0</v>
      </c>
      <c r="AD176" s="5" t="str">
        <f>AC176-Y176</f>
        <v>0</v>
      </c>
      <c r="AE176" s="3" t="s">
        <v>111</v>
      </c>
      <c r="AF176" s="2"/>
    </row>
    <row r="177" spans="1:32">
      <c r="A177" s="3" t="s">
        <v>226</v>
      </c>
      <c r="B177" s="3" t="s">
        <v>232</v>
      </c>
      <c r="C177" s="3">
        <v>69</v>
      </c>
      <c r="D177" s="4">
        <v>16.899</v>
      </c>
      <c r="E177" s="4">
        <v>9.483</v>
      </c>
      <c r="F177" s="3"/>
      <c r="G177" s="5"/>
      <c r="H177" s="3"/>
      <c r="I177" s="5"/>
      <c r="J177" s="3"/>
      <c r="K177" s="5"/>
      <c r="L177" s="3"/>
      <c r="M177" s="5"/>
      <c r="N177" s="3"/>
      <c r="O177" s="5"/>
      <c r="P177" s="3"/>
      <c r="Q177" s="5"/>
      <c r="R177" s="3"/>
      <c r="S177" s="5"/>
      <c r="T177" s="5"/>
      <c r="U177" s="5">
        <v>0</v>
      </c>
      <c r="V177" s="5"/>
      <c r="W177" s="5" t="str">
        <f>G177+I177+K177+M177+O177+Q177+S177+T177+U177+Y177</f>
        <v>0</v>
      </c>
      <c r="X177" s="5">
        <v>8051149.149</v>
      </c>
      <c r="Y177" s="5" t="str">
        <f>W177+X177</f>
        <v>0</v>
      </c>
      <c r="Z177" s="5">
        <v>0</v>
      </c>
      <c r="AA177" s="5" t="str">
        <f>Z177*D177</f>
        <v>0</v>
      </c>
      <c r="AB177" s="5">
        <v>0</v>
      </c>
      <c r="AC177" s="5" t="str">
        <f>AA177*AB177</f>
        <v>0</v>
      </c>
      <c r="AD177" s="5" t="str">
        <f>AC177-Y177</f>
        <v>0</v>
      </c>
      <c r="AE177" s="3" t="s">
        <v>111</v>
      </c>
      <c r="AF177" s="2"/>
    </row>
    <row r="178" spans="1:32">
      <c r="A178" s="3" t="s">
        <v>226</v>
      </c>
      <c r="B178" s="3" t="s">
        <v>233</v>
      </c>
      <c r="C178" s="3">
        <v>52</v>
      </c>
      <c r="D178" s="4">
        <v>17.915</v>
      </c>
      <c r="E178" s="4">
        <v>13.182</v>
      </c>
      <c r="F178" s="3"/>
      <c r="G178" s="5"/>
      <c r="H178" s="3"/>
      <c r="I178" s="5"/>
      <c r="J178" s="3"/>
      <c r="K178" s="5"/>
      <c r="L178" s="3"/>
      <c r="M178" s="5"/>
      <c r="N178" s="3"/>
      <c r="O178" s="5"/>
      <c r="P178" s="3"/>
      <c r="Q178" s="5"/>
      <c r="R178" s="3"/>
      <c r="S178" s="5"/>
      <c r="T178" s="5"/>
      <c r="U178" s="5">
        <v>0</v>
      </c>
      <c r="V178" s="5"/>
      <c r="W178" s="5" t="str">
        <f>G178+I178+K178+M178+O178+Q178+S178+T178+U178+Y178</f>
        <v>0</v>
      </c>
      <c r="X178" s="5">
        <v>6067532.692</v>
      </c>
      <c r="Y178" s="5" t="str">
        <f>W178+X178</f>
        <v>0</v>
      </c>
      <c r="Z178" s="5">
        <v>0</v>
      </c>
      <c r="AA178" s="5" t="str">
        <f>Z178*D178</f>
        <v>0</v>
      </c>
      <c r="AB178" s="5">
        <v>0</v>
      </c>
      <c r="AC178" s="5" t="str">
        <f>AA178*AB178</f>
        <v>0</v>
      </c>
      <c r="AD178" s="5" t="str">
        <f>AC178-Y178</f>
        <v>0</v>
      </c>
      <c r="AE178" s="3" t="s">
        <v>111</v>
      </c>
      <c r="AF178" s="2"/>
    </row>
    <row r="179" spans="1:32">
      <c r="A179" s="3" t="s">
        <v>234</v>
      </c>
      <c r="B179" s="3" t="s">
        <v>235</v>
      </c>
      <c r="C179" s="3">
        <v>63</v>
      </c>
      <c r="D179" s="4">
        <v>17.433</v>
      </c>
      <c r="E179" s="4">
        <v>10.663</v>
      </c>
      <c r="F179" s="3"/>
      <c r="G179" s="5"/>
      <c r="H179" s="3"/>
      <c r="I179" s="5"/>
      <c r="J179" s="3"/>
      <c r="K179" s="5"/>
      <c r="L179" s="3"/>
      <c r="M179" s="5"/>
      <c r="N179" s="3"/>
      <c r="O179" s="5"/>
      <c r="P179" s="3"/>
      <c r="Q179" s="5"/>
      <c r="R179" s="3"/>
      <c r="S179" s="5"/>
      <c r="T179" s="5"/>
      <c r="U179" s="5">
        <v>0</v>
      </c>
      <c r="V179" s="5"/>
      <c r="W179" s="5" t="str">
        <f>G179+I179+K179+M179+O179+Q179+S179+T179+U179+Y179</f>
        <v>0</v>
      </c>
      <c r="X179" s="5">
        <v>7630093.8</v>
      </c>
      <c r="Y179" s="5" t="str">
        <f>W179+X179</f>
        <v>0</v>
      </c>
      <c r="Z179" s="5">
        <v>0</v>
      </c>
      <c r="AA179" s="5" t="str">
        <f>Z179*D179</f>
        <v>0</v>
      </c>
      <c r="AB179" s="5">
        <v>0</v>
      </c>
      <c r="AC179" s="5" t="str">
        <f>AA179*AB179</f>
        <v>0</v>
      </c>
      <c r="AD179" s="5" t="str">
        <f>AC179-Y179</f>
        <v>0</v>
      </c>
      <c r="AE179" s="3" t="s">
        <v>169</v>
      </c>
      <c r="AF179" s="2"/>
    </row>
    <row r="180" spans="1:32">
      <c r="A180" s="3" t="s">
        <v>234</v>
      </c>
      <c r="B180" s="3" t="s">
        <v>236</v>
      </c>
      <c r="C180" s="3">
        <v>110</v>
      </c>
      <c r="D180" s="4">
        <v>18.052</v>
      </c>
      <c r="E180" s="4">
        <v>6.379</v>
      </c>
      <c r="F180" s="3"/>
      <c r="G180" s="5"/>
      <c r="H180" s="3"/>
      <c r="I180" s="5"/>
      <c r="J180" s="3"/>
      <c r="K180" s="5"/>
      <c r="L180" s="3"/>
      <c r="M180" s="5"/>
      <c r="N180" s="3"/>
      <c r="O180" s="5"/>
      <c r="P180" s="3"/>
      <c r="Q180" s="5"/>
      <c r="R180" s="3"/>
      <c r="S180" s="5"/>
      <c r="T180" s="5"/>
      <c r="U180" s="5">
        <v>0</v>
      </c>
      <c r="V180" s="5"/>
      <c r="W180" s="5" t="str">
        <f>G180+I180+K180+M180+O180+Q180+S180+T180+U180+Y180</f>
        <v>0</v>
      </c>
      <c r="X180" s="5">
        <v>13322386</v>
      </c>
      <c r="Y180" s="5" t="str">
        <f>W180+X180</f>
        <v>0</v>
      </c>
      <c r="Z180" s="5">
        <v>0</v>
      </c>
      <c r="AA180" s="5" t="str">
        <f>Z180*D180</f>
        <v>0</v>
      </c>
      <c r="AB180" s="5">
        <v>0</v>
      </c>
      <c r="AC180" s="5" t="str">
        <f>AA180*AB180</f>
        <v>0</v>
      </c>
      <c r="AD180" s="5" t="str">
        <f>AC180-Y180</f>
        <v>0</v>
      </c>
      <c r="AE180" s="3" t="s">
        <v>169</v>
      </c>
      <c r="AF180" s="2"/>
    </row>
    <row r="181" spans="1:32">
      <c r="A181" s="3" t="s">
        <v>234</v>
      </c>
      <c r="B181" s="3" t="s">
        <v>237</v>
      </c>
      <c r="C181" s="3">
        <v>61</v>
      </c>
      <c r="D181" s="4">
        <v>17.649</v>
      </c>
      <c r="E181" s="4">
        <v>11.162</v>
      </c>
      <c r="F181" s="3"/>
      <c r="G181" s="5"/>
      <c r="H181" s="3"/>
      <c r="I181" s="5"/>
      <c r="J181" s="3"/>
      <c r="K181" s="5"/>
      <c r="L181" s="3"/>
      <c r="M181" s="5"/>
      <c r="N181" s="3"/>
      <c r="O181" s="5"/>
      <c r="P181" s="3"/>
      <c r="Q181" s="5"/>
      <c r="R181" s="3"/>
      <c r="S181" s="5"/>
      <c r="T181" s="5"/>
      <c r="U181" s="5">
        <v>0</v>
      </c>
      <c r="V181" s="5"/>
      <c r="W181" s="5" t="str">
        <f>G181+I181+K181+M181+O181+Q181+S181+T181+U181+Y181</f>
        <v>0</v>
      </c>
      <c r="X181" s="5">
        <v>7387868.6</v>
      </c>
      <c r="Y181" s="5" t="str">
        <f>W181+X181</f>
        <v>0</v>
      </c>
      <c r="Z181" s="5">
        <v>0</v>
      </c>
      <c r="AA181" s="5" t="str">
        <f>Z181*D181</f>
        <v>0</v>
      </c>
      <c r="AB181" s="5">
        <v>0</v>
      </c>
      <c r="AC181" s="5" t="str">
        <f>AA181*AB181</f>
        <v>0</v>
      </c>
      <c r="AD181" s="5" t="str">
        <f>AC181-Y181</f>
        <v>0</v>
      </c>
      <c r="AE181" s="3" t="s">
        <v>169</v>
      </c>
      <c r="AF181" s="2"/>
    </row>
    <row r="182" spans="1:32">
      <c r="A182" s="3" t="s">
        <v>234</v>
      </c>
      <c r="B182" s="3" t="s">
        <v>238</v>
      </c>
      <c r="C182" s="3">
        <v>313</v>
      </c>
      <c r="D182" s="4">
        <v>17.458</v>
      </c>
      <c r="E182" s="4">
        <v>2.22</v>
      </c>
      <c r="F182" s="3"/>
      <c r="G182" s="5"/>
      <c r="H182" s="3"/>
      <c r="I182" s="5"/>
      <c r="J182" s="3"/>
      <c r="K182" s="5"/>
      <c r="L182" s="3"/>
      <c r="M182" s="5"/>
      <c r="N182" s="3"/>
      <c r="O182" s="5"/>
      <c r="P182" s="3"/>
      <c r="Q182" s="5"/>
      <c r="R182" s="3"/>
      <c r="S182" s="5"/>
      <c r="T182" s="5"/>
      <c r="U182" s="5">
        <v>0</v>
      </c>
      <c r="V182" s="5"/>
      <c r="W182" s="5" t="str">
        <f>G182+I182+K182+M182+O182+Q182+S182+T182+U182+Y182</f>
        <v>0</v>
      </c>
      <c r="X182" s="5">
        <v>37908243.8</v>
      </c>
      <c r="Y182" s="5" t="str">
        <f>W182+X182</f>
        <v>0</v>
      </c>
      <c r="Z182" s="5">
        <v>0</v>
      </c>
      <c r="AA182" s="5" t="str">
        <f>Z182*D182</f>
        <v>0</v>
      </c>
      <c r="AB182" s="5">
        <v>0</v>
      </c>
      <c r="AC182" s="5" t="str">
        <f>AA182*AB182</f>
        <v>0</v>
      </c>
      <c r="AD182" s="5" t="str">
        <f>AC182-Y182</f>
        <v>0</v>
      </c>
      <c r="AE182" s="3" t="s">
        <v>169</v>
      </c>
      <c r="AF182" s="2"/>
    </row>
    <row r="183" spans="1:32">
      <c r="A183" s="3" t="s">
        <v>234</v>
      </c>
      <c r="B183" s="3" t="s">
        <v>239</v>
      </c>
      <c r="C183" s="3">
        <v>65</v>
      </c>
      <c r="D183" s="4">
        <v>17.75</v>
      </c>
      <c r="E183" s="4">
        <v>10.558</v>
      </c>
      <c r="F183" s="3"/>
      <c r="G183" s="5"/>
      <c r="H183" s="3"/>
      <c r="I183" s="5"/>
      <c r="J183" s="3"/>
      <c r="K183" s="5"/>
      <c r="L183" s="3"/>
      <c r="M183" s="5"/>
      <c r="N183" s="3"/>
      <c r="O183" s="5"/>
      <c r="P183" s="3"/>
      <c r="Q183" s="5"/>
      <c r="R183" s="3"/>
      <c r="S183" s="5"/>
      <c r="T183" s="5"/>
      <c r="U183" s="5">
        <v>0</v>
      </c>
      <c r="V183" s="5"/>
      <c r="W183" s="5" t="str">
        <f>G183+I183+K183+M183+O183+Q183+S183+T183+U183+Y183</f>
        <v>0</v>
      </c>
      <c r="X183" s="5">
        <v>7872319</v>
      </c>
      <c r="Y183" s="5" t="str">
        <f>W183+X183</f>
        <v>0</v>
      </c>
      <c r="Z183" s="5">
        <v>0</v>
      </c>
      <c r="AA183" s="5" t="str">
        <f>Z183*D183</f>
        <v>0</v>
      </c>
      <c r="AB183" s="5">
        <v>0</v>
      </c>
      <c r="AC183" s="5" t="str">
        <f>AA183*AB183</f>
        <v>0</v>
      </c>
      <c r="AD183" s="5" t="str">
        <f>AC183-Y183</f>
        <v>0</v>
      </c>
      <c r="AE183" s="3" t="s">
        <v>169</v>
      </c>
      <c r="AF183" s="2"/>
    </row>
    <row r="184" spans="1:32">
      <c r="A184" s="3" t="s">
        <v>234</v>
      </c>
      <c r="B184" s="3" t="s">
        <v>240</v>
      </c>
      <c r="C184" s="3">
        <v>59</v>
      </c>
      <c r="D184" s="4">
        <v>17.202</v>
      </c>
      <c r="E184" s="4">
        <v>11.235</v>
      </c>
      <c r="F184" s="3"/>
      <c r="G184" s="5"/>
      <c r="H184" s="3"/>
      <c r="I184" s="5"/>
      <c r="J184" s="3"/>
      <c r="K184" s="5"/>
      <c r="L184" s="3"/>
      <c r="M184" s="5"/>
      <c r="N184" s="3"/>
      <c r="O184" s="5"/>
      <c r="P184" s="3"/>
      <c r="Q184" s="5"/>
      <c r="R184" s="3"/>
      <c r="S184" s="5"/>
      <c r="T184" s="5"/>
      <c r="U184" s="5">
        <v>0</v>
      </c>
      <c r="V184" s="5"/>
      <c r="W184" s="5" t="str">
        <f>G184+I184+K184+M184+O184+Q184+S184+T184+U184+Y184</f>
        <v>0</v>
      </c>
      <c r="X184" s="5">
        <v>7145643.4</v>
      </c>
      <c r="Y184" s="5" t="str">
        <f>W184+X184</f>
        <v>0</v>
      </c>
      <c r="Z184" s="5">
        <v>0</v>
      </c>
      <c r="AA184" s="5" t="str">
        <f>Z184*D184</f>
        <v>0</v>
      </c>
      <c r="AB184" s="5">
        <v>0</v>
      </c>
      <c r="AC184" s="5" t="str">
        <f>AA184*AB184</f>
        <v>0</v>
      </c>
      <c r="AD184" s="5" t="str">
        <f>AC184-Y184</f>
        <v>0</v>
      </c>
      <c r="AE184" s="3" t="s">
        <v>169</v>
      </c>
      <c r="AF184" s="2"/>
    </row>
    <row r="185" spans="1:32">
      <c r="A185" s="3" t="s">
        <v>234</v>
      </c>
      <c r="B185" s="3" t="s">
        <v>241</v>
      </c>
      <c r="C185" s="3">
        <v>305</v>
      </c>
      <c r="D185" s="4">
        <v>17.554</v>
      </c>
      <c r="E185" s="4">
        <v>2.29</v>
      </c>
      <c r="F185" s="3"/>
      <c r="G185" s="5"/>
      <c r="H185" s="3"/>
      <c r="I185" s="5"/>
      <c r="J185" s="3"/>
      <c r="K185" s="5"/>
      <c r="L185" s="3"/>
      <c r="M185" s="5"/>
      <c r="N185" s="3"/>
      <c r="O185" s="5"/>
      <c r="P185" s="3"/>
      <c r="Q185" s="5"/>
      <c r="R185" s="3"/>
      <c r="S185" s="5"/>
      <c r="T185" s="5"/>
      <c r="U185" s="5">
        <v>0</v>
      </c>
      <c r="V185" s="5"/>
      <c r="W185" s="5" t="str">
        <f>G185+I185+K185+M185+O185+Q185+S185+T185+U185+Y185</f>
        <v>0</v>
      </c>
      <c r="X185" s="5">
        <v>36939343</v>
      </c>
      <c r="Y185" s="5" t="str">
        <f>W185+X185</f>
        <v>0</v>
      </c>
      <c r="Z185" s="5">
        <v>0</v>
      </c>
      <c r="AA185" s="5" t="str">
        <f>Z185*D185</f>
        <v>0</v>
      </c>
      <c r="AB185" s="5">
        <v>0</v>
      </c>
      <c r="AC185" s="5" t="str">
        <f>AA185*AB185</f>
        <v>0</v>
      </c>
      <c r="AD185" s="5" t="str">
        <f>AC185-Y185</f>
        <v>0</v>
      </c>
      <c r="AE185" s="3" t="s">
        <v>169</v>
      </c>
      <c r="AF185" s="2"/>
    </row>
    <row r="186" spans="1:32">
      <c r="A186" s="3" t="s">
        <v>234</v>
      </c>
      <c r="B186" s="3" t="s">
        <v>242</v>
      </c>
      <c r="C186" s="3">
        <v>316</v>
      </c>
      <c r="D186" s="4">
        <v>17.549</v>
      </c>
      <c r="E186" s="4">
        <v>2.209</v>
      </c>
      <c r="F186" s="3"/>
      <c r="G186" s="5"/>
      <c r="H186" s="3"/>
      <c r="I186" s="5"/>
      <c r="J186" s="3"/>
      <c r="K186" s="5"/>
      <c r="L186" s="3"/>
      <c r="M186" s="5"/>
      <c r="N186" s="3"/>
      <c r="O186" s="5"/>
      <c r="P186" s="3"/>
      <c r="Q186" s="5"/>
      <c r="R186" s="3"/>
      <c r="S186" s="5"/>
      <c r="T186" s="5"/>
      <c r="U186" s="5">
        <v>0</v>
      </c>
      <c r="V186" s="5"/>
      <c r="W186" s="5" t="str">
        <f>G186+I186+K186+M186+O186+Q186+S186+T186+U186+Y186</f>
        <v>0</v>
      </c>
      <c r="X186" s="5">
        <v>38271581.6</v>
      </c>
      <c r="Y186" s="5" t="str">
        <f>W186+X186</f>
        <v>0</v>
      </c>
      <c r="Z186" s="5">
        <v>0</v>
      </c>
      <c r="AA186" s="5" t="str">
        <f>Z186*D186</f>
        <v>0</v>
      </c>
      <c r="AB186" s="5">
        <v>0</v>
      </c>
      <c r="AC186" s="5" t="str">
        <f>AA186*AB186</f>
        <v>0</v>
      </c>
      <c r="AD186" s="5" t="str">
        <f>AC186-Y186</f>
        <v>0</v>
      </c>
      <c r="AE186" s="3" t="s">
        <v>169</v>
      </c>
      <c r="AF186" s="2"/>
    </row>
    <row r="187" spans="1:32">
      <c r="A187" s="3" t="s">
        <v>234</v>
      </c>
      <c r="B187" s="3" t="s">
        <v>243</v>
      </c>
      <c r="C187" s="3">
        <v>62</v>
      </c>
      <c r="D187" s="4">
        <v>17.772</v>
      </c>
      <c r="E187" s="4">
        <v>11.038</v>
      </c>
      <c r="F187" s="3"/>
      <c r="G187" s="5"/>
      <c r="H187" s="3"/>
      <c r="I187" s="5"/>
      <c r="J187" s="3"/>
      <c r="K187" s="5"/>
      <c r="L187" s="3"/>
      <c r="M187" s="5"/>
      <c r="N187" s="3"/>
      <c r="O187" s="5"/>
      <c r="P187" s="3"/>
      <c r="Q187" s="5"/>
      <c r="R187" s="3"/>
      <c r="S187" s="5"/>
      <c r="T187" s="5"/>
      <c r="U187" s="5">
        <v>0</v>
      </c>
      <c r="V187" s="5"/>
      <c r="W187" s="5" t="str">
        <f>G187+I187+K187+M187+O187+Q187+S187+T187+U187+Y187</f>
        <v>0</v>
      </c>
      <c r="X187" s="5">
        <v>7508981.2</v>
      </c>
      <c r="Y187" s="5" t="str">
        <f>W187+X187</f>
        <v>0</v>
      </c>
      <c r="Z187" s="5">
        <v>0</v>
      </c>
      <c r="AA187" s="5" t="str">
        <f>Z187*D187</f>
        <v>0</v>
      </c>
      <c r="AB187" s="5">
        <v>0</v>
      </c>
      <c r="AC187" s="5" t="str">
        <f>AA187*AB187</f>
        <v>0</v>
      </c>
      <c r="AD187" s="5" t="str">
        <f>AC187-Y187</f>
        <v>0</v>
      </c>
      <c r="AE187" s="3" t="s">
        <v>169</v>
      </c>
      <c r="AF187" s="2"/>
    </row>
    <row r="188" spans="1:32">
      <c r="A188" s="3" t="s">
        <v>234</v>
      </c>
      <c r="B188" s="3" t="s">
        <v>244</v>
      </c>
      <c r="C188" s="3">
        <v>60</v>
      </c>
      <c r="D188" s="4">
        <v>17.64</v>
      </c>
      <c r="E188" s="4">
        <v>11.317</v>
      </c>
      <c r="F188" s="3"/>
      <c r="G188" s="5"/>
      <c r="H188" s="3"/>
      <c r="I188" s="5"/>
      <c r="J188" s="3"/>
      <c r="K188" s="5"/>
      <c r="L188" s="3"/>
      <c r="M188" s="5"/>
      <c r="N188" s="3"/>
      <c r="O188" s="5"/>
      <c r="P188" s="3"/>
      <c r="Q188" s="5"/>
      <c r="R188" s="3"/>
      <c r="S188" s="5"/>
      <c r="T188" s="5"/>
      <c r="U188" s="5">
        <v>0</v>
      </c>
      <c r="V188" s="5"/>
      <c r="W188" s="5" t="str">
        <f>G188+I188+K188+M188+O188+Q188+S188+T188+U188+Y188</f>
        <v>0</v>
      </c>
      <c r="X188" s="5">
        <v>7266756</v>
      </c>
      <c r="Y188" s="5" t="str">
        <f>W188+X188</f>
        <v>0</v>
      </c>
      <c r="Z188" s="5">
        <v>0</v>
      </c>
      <c r="AA188" s="5" t="str">
        <f>Z188*D188</f>
        <v>0</v>
      </c>
      <c r="AB188" s="5">
        <v>0</v>
      </c>
      <c r="AC188" s="5" t="str">
        <f>AA188*AB188</f>
        <v>0</v>
      </c>
      <c r="AD188" s="5" t="str">
        <f>AC188-Y188</f>
        <v>0</v>
      </c>
      <c r="AE188" s="3" t="s">
        <v>169</v>
      </c>
      <c r="AF188" s="2"/>
    </row>
    <row r="189" spans="1:32">
      <c r="A189" s="3" t="s">
        <v>245</v>
      </c>
      <c r="B189" s="3" t="s">
        <v>246</v>
      </c>
      <c r="C189" s="3">
        <v>114</v>
      </c>
      <c r="D189" s="4">
        <v>17.622</v>
      </c>
      <c r="E189" s="4">
        <v>6.025</v>
      </c>
      <c r="F189" s="3"/>
      <c r="G189" s="5"/>
      <c r="H189" s="3"/>
      <c r="I189" s="5"/>
      <c r="J189" s="3"/>
      <c r="K189" s="5"/>
      <c r="L189" s="3"/>
      <c r="M189" s="5"/>
      <c r="N189" s="3"/>
      <c r="O189" s="5"/>
      <c r="P189" s="3"/>
      <c r="Q189" s="5"/>
      <c r="R189" s="3"/>
      <c r="S189" s="5"/>
      <c r="T189" s="5"/>
      <c r="U189" s="5">
        <v>0</v>
      </c>
      <c r="V189" s="5"/>
      <c r="W189" s="5" t="str">
        <f>G189+I189+K189+M189+O189+Q189+S189+T189+U189+Y189</f>
        <v>0</v>
      </c>
      <c r="X189" s="5">
        <v>24415082.232</v>
      </c>
      <c r="Y189" s="5" t="str">
        <f>W189+X189</f>
        <v>0</v>
      </c>
      <c r="Z189" s="5">
        <v>0</v>
      </c>
      <c r="AA189" s="5" t="str">
        <f>Z189*D189</f>
        <v>0</v>
      </c>
      <c r="AB189" s="5">
        <v>0</v>
      </c>
      <c r="AC189" s="5" t="str">
        <f>AA189*AB189</f>
        <v>0</v>
      </c>
      <c r="AD189" s="5" t="str">
        <f>AC189-Y189</f>
        <v>0</v>
      </c>
      <c r="AE189" s="3" t="s">
        <v>169</v>
      </c>
      <c r="AF189" s="2"/>
    </row>
    <row r="190" spans="1:32">
      <c r="A190" s="3" t="s">
        <v>245</v>
      </c>
      <c r="B190" s="3" t="s">
        <v>247</v>
      </c>
      <c r="C190" s="3">
        <v>330</v>
      </c>
      <c r="D190" s="4">
        <v>17.663</v>
      </c>
      <c r="E190" s="4">
        <v>2.133</v>
      </c>
      <c r="F190" s="3"/>
      <c r="G190" s="5"/>
      <c r="H190" s="3"/>
      <c r="I190" s="5"/>
      <c r="J190" s="3"/>
      <c r="K190" s="5"/>
      <c r="L190" s="3"/>
      <c r="M190" s="5"/>
      <c r="N190" s="3"/>
      <c r="O190" s="5"/>
      <c r="P190" s="3"/>
      <c r="Q190" s="5"/>
      <c r="R190" s="3"/>
      <c r="S190" s="5"/>
      <c r="T190" s="5"/>
      <c r="U190" s="5">
        <v>0</v>
      </c>
      <c r="V190" s="5"/>
      <c r="W190" s="5" t="str">
        <f>G190+I190+K190+M190+O190+Q190+S190+T190+U190+Y190</f>
        <v>0</v>
      </c>
      <c r="X190" s="5">
        <v>27913229.52</v>
      </c>
      <c r="Y190" s="5" t="str">
        <f>W190+X190</f>
        <v>0</v>
      </c>
      <c r="Z190" s="5">
        <v>0</v>
      </c>
      <c r="AA190" s="5" t="str">
        <f>Z190*D190</f>
        <v>0</v>
      </c>
      <c r="AB190" s="5">
        <v>0</v>
      </c>
      <c r="AC190" s="5" t="str">
        <f>AA190*AB190</f>
        <v>0</v>
      </c>
      <c r="AD190" s="5" t="str">
        <f>AC190-Y190</f>
        <v>0</v>
      </c>
      <c r="AE190" s="3" t="s">
        <v>169</v>
      </c>
      <c r="AF190" s="2"/>
    </row>
    <row r="191" spans="1:32">
      <c r="A191" s="3" t="s">
        <v>245</v>
      </c>
      <c r="B191" s="3" t="s">
        <v>248</v>
      </c>
      <c r="C191" s="3">
        <v>101</v>
      </c>
      <c r="D191" s="4">
        <v>17.876</v>
      </c>
      <c r="E191" s="4">
        <v>6.848</v>
      </c>
      <c r="F191" s="3"/>
      <c r="G191" s="5"/>
      <c r="H191" s="3"/>
      <c r="I191" s="5"/>
      <c r="J191" s="3"/>
      <c r="K191" s="5"/>
      <c r="L191" s="3"/>
      <c r="M191" s="5"/>
      <c r="N191" s="3"/>
      <c r="O191" s="5"/>
      <c r="P191" s="3"/>
      <c r="Q191" s="5"/>
      <c r="R191" s="3"/>
      <c r="S191" s="5"/>
      <c r="T191" s="5"/>
      <c r="U191" s="5">
        <v>0</v>
      </c>
      <c r="V191" s="5"/>
      <c r="W191" s="5" t="str">
        <f>G191+I191+K191+M191+O191+Q191+S191+T191+U191+Y191</f>
        <v>0</v>
      </c>
      <c r="X191" s="5">
        <v>21630906.188</v>
      </c>
      <c r="Y191" s="5" t="str">
        <f>W191+X191</f>
        <v>0</v>
      </c>
      <c r="Z191" s="5">
        <v>0</v>
      </c>
      <c r="AA191" s="5" t="str">
        <f>Z191*D191</f>
        <v>0</v>
      </c>
      <c r="AB191" s="5">
        <v>0</v>
      </c>
      <c r="AC191" s="5" t="str">
        <f>AA191*AB191</f>
        <v>0</v>
      </c>
      <c r="AD191" s="5" t="str">
        <f>AC191-Y191</f>
        <v>0</v>
      </c>
      <c r="AE191" s="3" t="s">
        <v>169</v>
      </c>
      <c r="AF191" s="2"/>
    </row>
    <row r="192" spans="1:32">
      <c r="A192" s="3" t="s">
        <v>249</v>
      </c>
      <c r="B192" s="3" t="s">
        <v>250</v>
      </c>
      <c r="C192" s="3">
        <v>129</v>
      </c>
      <c r="D192" s="4">
        <v>17.835</v>
      </c>
      <c r="E192" s="4">
        <v>5.407</v>
      </c>
      <c r="F192" s="3"/>
      <c r="G192" s="5"/>
      <c r="H192" s="3"/>
      <c r="I192" s="5"/>
      <c r="J192" s="3"/>
      <c r="K192" s="5"/>
      <c r="L192" s="3"/>
      <c r="M192" s="5"/>
      <c r="N192" s="3"/>
      <c r="O192" s="5"/>
      <c r="P192" s="3"/>
      <c r="Q192" s="5"/>
      <c r="R192" s="3"/>
      <c r="S192" s="5"/>
      <c r="T192" s="5"/>
      <c r="U192" s="5">
        <v>0</v>
      </c>
      <c r="V192" s="5"/>
      <c r="W192" s="5" t="str">
        <f>G192+I192+K192+M192+O192+Q192+S192+T192+U192+Y192</f>
        <v>0</v>
      </c>
      <c r="X192" s="5">
        <v>13228135.881</v>
      </c>
      <c r="Y192" s="5" t="str">
        <f>W192+X192</f>
        <v>0</v>
      </c>
      <c r="Z192" s="5">
        <v>0</v>
      </c>
      <c r="AA192" s="5" t="str">
        <f>Z192*D192</f>
        <v>0</v>
      </c>
      <c r="AB192" s="5">
        <v>0</v>
      </c>
      <c r="AC192" s="5" t="str">
        <f>AA192*AB192</f>
        <v>0</v>
      </c>
      <c r="AD192" s="5" t="str">
        <f>AC192-Y192</f>
        <v>0</v>
      </c>
      <c r="AE192" s="3" t="s">
        <v>169</v>
      </c>
      <c r="AF192" s="2"/>
    </row>
    <row r="193" spans="1:32">
      <c r="A193" s="3" t="s">
        <v>249</v>
      </c>
      <c r="B193" s="3" t="s">
        <v>251</v>
      </c>
      <c r="C193" s="3">
        <v>66</v>
      </c>
      <c r="D193" s="4">
        <v>18.281</v>
      </c>
      <c r="E193" s="4">
        <v>10.686</v>
      </c>
      <c r="F193" s="3"/>
      <c r="G193" s="5"/>
      <c r="H193" s="3"/>
      <c r="I193" s="5"/>
      <c r="J193" s="3"/>
      <c r="K193" s="5"/>
      <c r="L193" s="3"/>
      <c r="M193" s="5"/>
      <c r="N193" s="3"/>
      <c r="O193" s="5"/>
      <c r="P193" s="3"/>
      <c r="Q193" s="5"/>
      <c r="R193" s="3"/>
      <c r="S193" s="5"/>
      <c r="T193" s="5"/>
      <c r="U193" s="5">
        <v>0</v>
      </c>
      <c r="V193" s="5"/>
      <c r="W193" s="5" t="str">
        <f>G193+I193+K193+M193+O193+Q193+S193+T193+U193+Y193</f>
        <v>0</v>
      </c>
      <c r="X193" s="5">
        <v>6767883.474</v>
      </c>
      <c r="Y193" s="5" t="str">
        <f>W193+X193</f>
        <v>0</v>
      </c>
      <c r="Z193" s="5">
        <v>0</v>
      </c>
      <c r="AA193" s="5" t="str">
        <f>Z193*D193</f>
        <v>0</v>
      </c>
      <c r="AB193" s="5">
        <v>0</v>
      </c>
      <c r="AC193" s="5" t="str">
        <f>AA193*AB193</f>
        <v>0</v>
      </c>
      <c r="AD193" s="5" t="str">
        <f>AC193-Y193</f>
        <v>0</v>
      </c>
      <c r="AE193" s="3" t="s">
        <v>169</v>
      </c>
      <c r="AF193" s="2"/>
    </row>
    <row r="194" spans="1:32">
      <c r="A194" s="3" t="s">
        <v>249</v>
      </c>
      <c r="B194" s="3" t="s">
        <v>252</v>
      </c>
      <c r="C194" s="3">
        <v>60</v>
      </c>
      <c r="D194" s="4">
        <v>17.859</v>
      </c>
      <c r="E194" s="4">
        <v>11.452</v>
      </c>
      <c r="F194" s="3"/>
      <c r="G194" s="5"/>
      <c r="H194" s="3"/>
      <c r="I194" s="5"/>
      <c r="J194" s="3"/>
      <c r="K194" s="5"/>
      <c r="L194" s="3"/>
      <c r="M194" s="5"/>
      <c r="N194" s="3"/>
      <c r="O194" s="5"/>
      <c r="P194" s="3"/>
      <c r="Q194" s="5"/>
      <c r="R194" s="3"/>
      <c r="S194" s="5"/>
      <c r="T194" s="5"/>
      <c r="U194" s="5">
        <v>0</v>
      </c>
      <c r="V194" s="5"/>
      <c r="W194" s="5" t="str">
        <f>G194+I194+K194+M194+O194+Q194+S194+T194+U194+Y194</f>
        <v>0</v>
      </c>
      <c r="X194" s="5">
        <v>6152621.34</v>
      </c>
      <c r="Y194" s="5" t="str">
        <f>W194+X194</f>
        <v>0</v>
      </c>
      <c r="Z194" s="5">
        <v>0</v>
      </c>
      <c r="AA194" s="5" t="str">
        <f>Z194*D194</f>
        <v>0</v>
      </c>
      <c r="AB194" s="5">
        <v>0</v>
      </c>
      <c r="AC194" s="5" t="str">
        <f>AA194*AB194</f>
        <v>0</v>
      </c>
      <c r="AD194" s="5" t="str">
        <f>AC194-Y194</f>
        <v>0</v>
      </c>
      <c r="AE194" s="3" t="s">
        <v>169</v>
      </c>
      <c r="AF194" s="2"/>
    </row>
    <row r="195" spans="1:32">
      <c r="A195" s="3" t="s">
        <v>249</v>
      </c>
      <c r="B195" s="3" t="s">
        <v>253</v>
      </c>
      <c r="C195" s="3">
        <v>103</v>
      </c>
      <c r="D195" s="4">
        <v>18.036</v>
      </c>
      <c r="E195" s="4">
        <v>6.786</v>
      </c>
      <c r="F195" s="3"/>
      <c r="G195" s="5"/>
      <c r="H195" s="3"/>
      <c r="I195" s="5"/>
      <c r="J195" s="3"/>
      <c r="K195" s="5"/>
      <c r="L195" s="3"/>
      <c r="M195" s="5"/>
      <c r="N195" s="3"/>
      <c r="O195" s="5"/>
      <c r="P195" s="3"/>
      <c r="Q195" s="5"/>
      <c r="R195" s="3"/>
      <c r="S195" s="5"/>
      <c r="T195" s="5"/>
      <c r="U195" s="5">
        <v>0</v>
      </c>
      <c r="V195" s="5"/>
      <c r="W195" s="5" t="str">
        <f>G195+I195+K195+M195+O195+Q195+S195+T195+U195+Y195</f>
        <v>0</v>
      </c>
      <c r="X195" s="5">
        <v>10561999.967</v>
      </c>
      <c r="Y195" s="5" t="str">
        <f>W195+X195</f>
        <v>0</v>
      </c>
      <c r="Z195" s="5">
        <v>0</v>
      </c>
      <c r="AA195" s="5" t="str">
        <f>Z195*D195</f>
        <v>0</v>
      </c>
      <c r="AB195" s="5">
        <v>0</v>
      </c>
      <c r="AC195" s="5" t="str">
        <f>AA195*AB195</f>
        <v>0</v>
      </c>
      <c r="AD195" s="5" t="str">
        <f>AC195-Y195</f>
        <v>0</v>
      </c>
      <c r="AE195" s="3" t="s">
        <v>169</v>
      </c>
      <c r="AF195" s="2"/>
    </row>
    <row r="196" spans="1:32">
      <c r="A196" s="3" t="s">
        <v>249</v>
      </c>
      <c r="B196" s="3" t="s">
        <v>254</v>
      </c>
      <c r="C196" s="3">
        <v>62</v>
      </c>
      <c r="D196" s="4">
        <v>18.112</v>
      </c>
      <c r="E196" s="4">
        <v>11.239</v>
      </c>
      <c r="F196" s="3"/>
      <c r="G196" s="5"/>
      <c r="H196" s="3"/>
      <c r="I196" s="5"/>
      <c r="J196" s="3"/>
      <c r="K196" s="5"/>
      <c r="L196" s="3"/>
      <c r="M196" s="5"/>
      <c r="N196" s="3"/>
      <c r="O196" s="5"/>
      <c r="P196" s="3"/>
      <c r="Q196" s="5"/>
      <c r="R196" s="3"/>
      <c r="S196" s="5"/>
      <c r="T196" s="5"/>
      <c r="U196" s="5">
        <v>0</v>
      </c>
      <c r="V196" s="5"/>
      <c r="W196" s="5" t="str">
        <f>G196+I196+K196+M196+O196+Q196+S196+T196+U196+Y196</f>
        <v>0</v>
      </c>
      <c r="X196" s="5">
        <v>6357708.718</v>
      </c>
      <c r="Y196" s="5" t="str">
        <f>W196+X196</f>
        <v>0</v>
      </c>
      <c r="Z196" s="5">
        <v>0</v>
      </c>
      <c r="AA196" s="5" t="str">
        <f>Z196*D196</f>
        <v>0</v>
      </c>
      <c r="AB196" s="5">
        <v>0</v>
      </c>
      <c r="AC196" s="5" t="str">
        <f>AA196*AB196</f>
        <v>0</v>
      </c>
      <c r="AD196" s="5" t="str">
        <f>AC196-Y196</f>
        <v>0</v>
      </c>
      <c r="AE196" s="3" t="s">
        <v>169</v>
      </c>
      <c r="AF196" s="2"/>
    </row>
    <row r="197" spans="1:32">
      <c r="A197" s="3" t="s">
        <v>249</v>
      </c>
      <c r="B197" s="3" t="s">
        <v>255</v>
      </c>
      <c r="C197" s="3">
        <v>332</v>
      </c>
      <c r="D197" s="4">
        <v>17.442</v>
      </c>
      <c r="E197" s="4">
        <v>2.094</v>
      </c>
      <c r="F197" s="3"/>
      <c r="G197" s="5"/>
      <c r="H197" s="3"/>
      <c r="I197" s="5"/>
      <c r="J197" s="3"/>
      <c r="K197" s="5"/>
      <c r="L197" s="3"/>
      <c r="M197" s="5"/>
      <c r="N197" s="3"/>
      <c r="O197" s="5"/>
      <c r="P197" s="3"/>
      <c r="Q197" s="5"/>
      <c r="R197" s="3"/>
      <c r="S197" s="5"/>
      <c r="T197" s="5"/>
      <c r="U197" s="5">
        <v>0</v>
      </c>
      <c r="V197" s="5"/>
      <c r="W197" s="5" t="str">
        <f>G197+I197+K197+M197+O197+Q197+S197+T197+U197+Y197</f>
        <v>0</v>
      </c>
      <c r="X197" s="5">
        <v>34044504.748</v>
      </c>
      <c r="Y197" s="5" t="str">
        <f>W197+X197</f>
        <v>0</v>
      </c>
      <c r="Z197" s="5">
        <v>0</v>
      </c>
      <c r="AA197" s="5" t="str">
        <f>Z197*D197</f>
        <v>0</v>
      </c>
      <c r="AB197" s="5">
        <v>0</v>
      </c>
      <c r="AC197" s="5" t="str">
        <f>AA197*AB197</f>
        <v>0</v>
      </c>
      <c r="AD197" s="5" t="str">
        <f>AC197-Y197</f>
        <v>0</v>
      </c>
      <c r="AE197" s="3" t="s">
        <v>169</v>
      </c>
      <c r="AF197" s="2"/>
    </row>
    <row r="198" spans="1:32">
      <c r="A198" s="3" t="s">
        <v>249</v>
      </c>
      <c r="B198" s="3" t="s">
        <v>256</v>
      </c>
      <c r="C198" s="3">
        <v>63</v>
      </c>
      <c r="D198" s="4">
        <v>17.773</v>
      </c>
      <c r="E198" s="4">
        <v>10.87</v>
      </c>
      <c r="F198" s="3"/>
      <c r="G198" s="5"/>
      <c r="H198" s="3"/>
      <c r="I198" s="5"/>
      <c r="J198" s="3"/>
      <c r="K198" s="5"/>
      <c r="L198" s="3"/>
      <c r="M198" s="5"/>
      <c r="N198" s="3"/>
      <c r="O198" s="5"/>
      <c r="P198" s="3"/>
      <c r="Q198" s="5"/>
      <c r="R198" s="3"/>
      <c r="S198" s="5"/>
      <c r="T198" s="5"/>
      <c r="U198" s="5">
        <v>0</v>
      </c>
      <c r="V198" s="5"/>
      <c r="W198" s="5" t="str">
        <f>G198+I198+K198+M198+O198+Q198+S198+T198+U198+Y198</f>
        <v>0</v>
      </c>
      <c r="X198" s="5">
        <v>6460252.407</v>
      </c>
      <c r="Y198" s="5" t="str">
        <f>W198+X198</f>
        <v>0</v>
      </c>
      <c r="Z198" s="5">
        <v>0</v>
      </c>
      <c r="AA198" s="5" t="str">
        <f>Z198*D198</f>
        <v>0</v>
      </c>
      <c r="AB198" s="5">
        <v>0</v>
      </c>
      <c r="AC198" s="5" t="str">
        <f>AA198*AB198</f>
        <v>0</v>
      </c>
      <c r="AD198" s="5" t="str">
        <f>AC198-Y198</f>
        <v>0</v>
      </c>
      <c r="AE198" s="3" t="s">
        <v>169</v>
      </c>
      <c r="AF198" s="2"/>
    </row>
    <row r="199" spans="1:32">
      <c r="A199" s="3" t="s">
        <v>249</v>
      </c>
      <c r="B199" s="3" t="s">
        <v>257</v>
      </c>
      <c r="C199" s="3">
        <v>299</v>
      </c>
      <c r="D199" s="4">
        <v>17.676</v>
      </c>
      <c r="E199" s="4">
        <v>2.342</v>
      </c>
      <c r="F199" s="3"/>
      <c r="G199" s="5"/>
      <c r="H199" s="3"/>
      <c r="I199" s="5"/>
      <c r="J199" s="3"/>
      <c r="K199" s="5"/>
      <c r="L199" s="3"/>
      <c r="M199" s="5"/>
      <c r="N199" s="3"/>
      <c r="O199" s="5"/>
      <c r="P199" s="3"/>
      <c r="Q199" s="5"/>
      <c r="R199" s="3"/>
      <c r="S199" s="5"/>
      <c r="T199" s="5"/>
      <c r="U199" s="5">
        <v>0</v>
      </c>
      <c r="V199" s="5"/>
      <c r="W199" s="5" t="str">
        <f>G199+I199+K199+M199+O199+Q199+S199+T199+U199+Y199</f>
        <v>0</v>
      </c>
      <c r="X199" s="5">
        <v>30660563.011</v>
      </c>
      <c r="Y199" s="5" t="str">
        <f>W199+X199</f>
        <v>0</v>
      </c>
      <c r="Z199" s="5">
        <v>0</v>
      </c>
      <c r="AA199" s="5" t="str">
        <f>Z199*D199</f>
        <v>0</v>
      </c>
      <c r="AB199" s="5">
        <v>0</v>
      </c>
      <c r="AC199" s="5" t="str">
        <f>AA199*AB199</f>
        <v>0</v>
      </c>
      <c r="AD199" s="5" t="str">
        <f>AC199-Y199</f>
        <v>0</v>
      </c>
      <c r="AE199" s="3" t="s">
        <v>169</v>
      </c>
      <c r="AF199" s="2"/>
    </row>
    <row r="200" spans="1:32">
      <c r="A200" s="3" t="s">
        <v>249</v>
      </c>
      <c r="B200" s="3" t="s">
        <v>258</v>
      </c>
      <c r="C200" s="3">
        <v>64</v>
      </c>
      <c r="D200" s="4">
        <v>16.965</v>
      </c>
      <c r="E200" s="4">
        <v>10.226</v>
      </c>
      <c r="F200" s="3"/>
      <c r="G200" s="5"/>
      <c r="H200" s="3"/>
      <c r="I200" s="5"/>
      <c r="J200" s="3"/>
      <c r="K200" s="5"/>
      <c r="L200" s="3"/>
      <c r="M200" s="5"/>
      <c r="N200" s="3"/>
      <c r="O200" s="5"/>
      <c r="P200" s="3"/>
      <c r="Q200" s="5"/>
      <c r="R200" s="3"/>
      <c r="S200" s="5"/>
      <c r="T200" s="5"/>
      <c r="U200" s="5">
        <v>0</v>
      </c>
      <c r="V200" s="5"/>
      <c r="W200" s="5" t="str">
        <f>G200+I200+K200+M200+O200+Q200+S200+T200+U200+Y200</f>
        <v>0</v>
      </c>
      <c r="X200" s="5">
        <v>6562796.096</v>
      </c>
      <c r="Y200" s="5" t="str">
        <f>W200+X200</f>
        <v>0</v>
      </c>
      <c r="Z200" s="5">
        <v>0</v>
      </c>
      <c r="AA200" s="5" t="str">
        <f>Z200*D200</f>
        <v>0</v>
      </c>
      <c r="AB200" s="5">
        <v>0</v>
      </c>
      <c r="AC200" s="5" t="str">
        <f>AA200*AB200</f>
        <v>0</v>
      </c>
      <c r="AD200" s="5" t="str">
        <f>AC200-Y200</f>
        <v>0</v>
      </c>
      <c r="AE200" s="3" t="s">
        <v>169</v>
      </c>
      <c r="AF200" s="2"/>
    </row>
    <row r="201" spans="1:32">
      <c r="A201" s="3" t="s">
        <v>249</v>
      </c>
      <c r="B201" s="3" t="s">
        <v>259</v>
      </c>
      <c r="C201" s="3">
        <v>398</v>
      </c>
      <c r="D201" s="4">
        <v>17.517</v>
      </c>
      <c r="E201" s="4">
        <v>1.77</v>
      </c>
      <c r="F201" s="3"/>
      <c r="G201" s="5"/>
      <c r="H201" s="3"/>
      <c r="I201" s="5"/>
      <c r="J201" s="3"/>
      <c r="K201" s="5"/>
      <c r="L201" s="3"/>
      <c r="M201" s="5"/>
      <c r="N201" s="3"/>
      <c r="O201" s="5"/>
      <c r="P201" s="3"/>
      <c r="Q201" s="5"/>
      <c r="R201" s="3"/>
      <c r="S201" s="5"/>
      <c r="T201" s="5"/>
      <c r="U201" s="5">
        <v>0</v>
      </c>
      <c r="V201" s="5"/>
      <c r="W201" s="5" t="str">
        <f>G201+I201+K201+M201+O201+Q201+S201+T201+U201+Y201</f>
        <v>0</v>
      </c>
      <c r="X201" s="5">
        <v>40812388.222</v>
      </c>
      <c r="Y201" s="5" t="str">
        <f>W201+X201</f>
        <v>0</v>
      </c>
      <c r="Z201" s="5">
        <v>0</v>
      </c>
      <c r="AA201" s="5" t="str">
        <f>Z201*D201</f>
        <v>0</v>
      </c>
      <c r="AB201" s="5">
        <v>0</v>
      </c>
      <c r="AC201" s="5" t="str">
        <f>AA201*AB201</f>
        <v>0</v>
      </c>
      <c r="AD201" s="5" t="str">
        <f>AC201-Y201</f>
        <v>0</v>
      </c>
      <c r="AE201" s="3" t="s">
        <v>169</v>
      </c>
      <c r="AF201" s="2"/>
    </row>
    <row r="202" spans="1:32">
      <c r="A202" s="3" t="s">
        <v>249</v>
      </c>
      <c r="B202" s="3" t="s">
        <v>260</v>
      </c>
      <c r="C202" s="3">
        <v>320</v>
      </c>
      <c r="D202" s="4">
        <v>17.534</v>
      </c>
      <c r="E202" s="4">
        <v>2.181</v>
      </c>
      <c r="F202" s="3"/>
      <c r="G202" s="5"/>
      <c r="H202" s="3"/>
      <c r="I202" s="5"/>
      <c r="J202" s="3"/>
      <c r="K202" s="5"/>
      <c r="L202" s="3"/>
      <c r="M202" s="5"/>
      <c r="N202" s="3"/>
      <c r="O202" s="5"/>
      <c r="P202" s="3"/>
      <c r="Q202" s="5"/>
      <c r="R202" s="3"/>
      <c r="S202" s="5"/>
      <c r="T202" s="5"/>
      <c r="U202" s="5">
        <v>0</v>
      </c>
      <c r="V202" s="5"/>
      <c r="W202" s="5" t="str">
        <f>G202+I202+K202+M202+O202+Q202+S202+T202+U202+Y202</f>
        <v>0</v>
      </c>
      <c r="X202" s="5">
        <v>32813980.48</v>
      </c>
      <c r="Y202" s="5" t="str">
        <f>W202+X202</f>
        <v>0</v>
      </c>
      <c r="Z202" s="5">
        <v>0</v>
      </c>
      <c r="AA202" s="5" t="str">
        <f>Z202*D202</f>
        <v>0</v>
      </c>
      <c r="AB202" s="5">
        <v>0</v>
      </c>
      <c r="AC202" s="5" t="str">
        <f>AA202*AB202</f>
        <v>0</v>
      </c>
      <c r="AD202" s="5" t="str">
        <f>AC202-Y202</f>
        <v>0</v>
      </c>
      <c r="AE202" s="3" t="s">
        <v>169</v>
      </c>
      <c r="AF202" s="2"/>
    </row>
    <row r="203" spans="1:32">
      <c r="A203" s="3" t="s">
        <v>249</v>
      </c>
      <c r="B203" s="3" t="s">
        <v>261</v>
      </c>
      <c r="C203" s="3">
        <v>371</v>
      </c>
      <c r="D203" s="4">
        <v>18.015</v>
      </c>
      <c r="E203" s="4">
        <v>1.943</v>
      </c>
      <c r="F203" s="3"/>
      <c r="G203" s="5"/>
      <c r="H203" s="3"/>
      <c r="I203" s="5"/>
      <c r="J203" s="3"/>
      <c r="K203" s="5"/>
      <c r="L203" s="3"/>
      <c r="M203" s="5"/>
      <c r="N203" s="3"/>
      <c r="O203" s="5"/>
      <c r="P203" s="3"/>
      <c r="Q203" s="5"/>
      <c r="R203" s="3"/>
      <c r="S203" s="5"/>
      <c r="T203" s="5"/>
      <c r="U203" s="5">
        <v>0</v>
      </c>
      <c r="V203" s="5"/>
      <c r="W203" s="5" t="str">
        <f>G203+I203+K203+M203+O203+Q203+S203+T203+U203+Y203</f>
        <v>0</v>
      </c>
      <c r="X203" s="5">
        <v>38043708.619</v>
      </c>
      <c r="Y203" s="5" t="str">
        <f>W203+X203</f>
        <v>0</v>
      </c>
      <c r="Z203" s="5">
        <v>0</v>
      </c>
      <c r="AA203" s="5" t="str">
        <f>Z203*D203</f>
        <v>0</v>
      </c>
      <c r="AB203" s="5">
        <v>0</v>
      </c>
      <c r="AC203" s="5" t="str">
        <f>AA203*AB203</f>
        <v>0</v>
      </c>
      <c r="AD203" s="5" t="str">
        <f>AC203-Y203</f>
        <v>0</v>
      </c>
      <c r="AE203" s="3" t="s">
        <v>169</v>
      </c>
      <c r="AF203" s="2"/>
    </row>
    <row r="204" spans="1:32">
      <c r="A204" s="3" t="s">
        <v>249</v>
      </c>
      <c r="B204" s="3" t="s">
        <v>262</v>
      </c>
      <c r="C204" s="3">
        <v>61</v>
      </c>
      <c r="D204" s="4">
        <v>17.992</v>
      </c>
      <c r="E204" s="4">
        <v>11.368</v>
      </c>
      <c r="F204" s="3"/>
      <c r="G204" s="5"/>
      <c r="H204" s="3"/>
      <c r="I204" s="5"/>
      <c r="J204" s="3"/>
      <c r="K204" s="5"/>
      <c r="L204" s="3"/>
      <c r="M204" s="5"/>
      <c r="N204" s="3"/>
      <c r="O204" s="5"/>
      <c r="P204" s="3"/>
      <c r="Q204" s="5"/>
      <c r="R204" s="3"/>
      <c r="S204" s="5"/>
      <c r="T204" s="5"/>
      <c r="U204" s="5">
        <v>0</v>
      </c>
      <c r="V204" s="5"/>
      <c r="W204" s="5" t="str">
        <f>G204+I204+K204+M204+O204+Q204+S204+T204+U204+Y204</f>
        <v>0</v>
      </c>
      <c r="X204" s="5">
        <v>6255165.029</v>
      </c>
      <c r="Y204" s="5" t="str">
        <f>W204+X204</f>
        <v>0</v>
      </c>
      <c r="Z204" s="5">
        <v>0</v>
      </c>
      <c r="AA204" s="5" t="str">
        <f>Z204*D204</f>
        <v>0</v>
      </c>
      <c r="AB204" s="5">
        <v>0</v>
      </c>
      <c r="AC204" s="5" t="str">
        <f>AA204*AB204</f>
        <v>0</v>
      </c>
      <c r="AD204" s="5" t="str">
        <f>AC204-Y204</f>
        <v>0</v>
      </c>
      <c r="AE204" s="3" t="s">
        <v>169</v>
      </c>
      <c r="AF204" s="2"/>
    </row>
    <row r="205" spans="1:32">
      <c r="A205" s="3" t="s">
        <v>249</v>
      </c>
      <c r="B205" s="3" t="s">
        <v>263</v>
      </c>
      <c r="C205" s="3">
        <v>372</v>
      </c>
      <c r="D205" s="4">
        <v>17.362</v>
      </c>
      <c r="E205" s="4">
        <v>1.872</v>
      </c>
      <c r="F205" s="3"/>
      <c r="G205" s="5"/>
      <c r="H205" s="3"/>
      <c r="I205" s="5"/>
      <c r="J205" s="3"/>
      <c r="K205" s="5"/>
      <c r="L205" s="3"/>
      <c r="M205" s="5"/>
      <c r="N205" s="3"/>
      <c r="O205" s="5"/>
      <c r="P205" s="3"/>
      <c r="Q205" s="5"/>
      <c r="R205" s="3"/>
      <c r="S205" s="5"/>
      <c r="T205" s="5"/>
      <c r="U205" s="5">
        <v>0</v>
      </c>
      <c r="V205" s="5"/>
      <c r="W205" s="5" t="str">
        <f>G205+I205+K205+M205+O205+Q205+S205+T205+U205+Y205</f>
        <v>0</v>
      </c>
      <c r="X205" s="5">
        <v>38146252.308</v>
      </c>
      <c r="Y205" s="5" t="str">
        <f>W205+X205</f>
        <v>0</v>
      </c>
      <c r="Z205" s="5">
        <v>0</v>
      </c>
      <c r="AA205" s="5" t="str">
        <f>Z205*D205</f>
        <v>0</v>
      </c>
      <c r="AB205" s="5">
        <v>0</v>
      </c>
      <c r="AC205" s="5" t="str">
        <f>AA205*AB205</f>
        <v>0</v>
      </c>
      <c r="AD205" s="5" t="str">
        <f>AC205-Y205</f>
        <v>0</v>
      </c>
      <c r="AE205" s="3" t="s">
        <v>169</v>
      </c>
      <c r="AF205" s="2"/>
    </row>
    <row r="206" spans="1:32">
      <c r="A206" s="3" t="s">
        <v>249</v>
      </c>
      <c r="B206" s="3" t="s">
        <v>264</v>
      </c>
      <c r="C206" s="3">
        <v>62</v>
      </c>
      <c r="D206" s="4">
        <v>16.308</v>
      </c>
      <c r="E206" s="4">
        <v>10.16</v>
      </c>
      <c r="F206" s="3"/>
      <c r="G206" s="5"/>
      <c r="H206" s="3"/>
      <c r="I206" s="5"/>
      <c r="J206" s="3"/>
      <c r="K206" s="5"/>
      <c r="L206" s="3"/>
      <c r="M206" s="5"/>
      <c r="N206" s="3"/>
      <c r="O206" s="5"/>
      <c r="P206" s="3"/>
      <c r="Q206" s="5"/>
      <c r="R206" s="3"/>
      <c r="S206" s="5"/>
      <c r="T206" s="5"/>
      <c r="U206" s="5">
        <v>0</v>
      </c>
      <c r="V206" s="5"/>
      <c r="W206" s="5" t="str">
        <f>G206+I206+K206+M206+O206+Q206+S206+T206+U206+Y206</f>
        <v>0</v>
      </c>
      <c r="X206" s="5">
        <v>6357708.718</v>
      </c>
      <c r="Y206" s="5" t="str">
        <f>W206+X206</f>
        <v>0</v>
      </c>
      <c r="Z206" s="5">
        <v>0</v>
      </c>
      <c r="AA206" s="5" t="str">
        <f>Z206*D206</f>
        <v>0</v>
      </c>
      <c r="AB206" s="5">
        <v>0</v>
      </c>
      <c r="AC206" s="5" t="str">
        <f>AA206*AB206</f>
        <v>0</v>
      </c>
      <c r="AD206" s="5" t="str">
        <f>AC206-Y206</f>
        <v>0</v>
      </c>
      <c r="AE206" s="3" t="s">
        <v>169</v>
      </c>
      <c r="AF206" s="2"/>
    </row>
    <row r="207" spans="1:32">
      <c r="A207" s="3" t="s">
        <v>265</v>
      </c>
      <c r="B207" s="3" t="s">
        <v>266</v>
      </c>
      <c r="C207" s="3">
        <v>111</v>
      </c>
      <c r="D207" s="4">
        <v>17.961</v>
      </c>
      <c r="E207" s="4">
        <v>6.301</v>
      </c>
      <c r="F207" s="3"/>
      <c r="G207" s="5"/>
      <c r="H207" s="3"/>
      <c r="I207" s="5"/>
      <c r="J207" s="3"/>
      <c r="K207" s="5"/>
      <c r="L207" s="3"/>
      <c r="M207" s="5"/>
      <c r="N207" s="3"/>
      <c r="O207" s="5"/>
      <c r="P207" s="3"/>
      <c r="Q207" s="5"/>
      <c r="R207" s="3"/>
      <c r="S207" s="5"/>
      <c r="T207" s="5"/>
      <c r="U207" s="5">
        <v>0</v>
      </c>
      <c r="V207" s="5"/>
      <c r="W207" s="5" t="str">
        <f>G207+I207+K207+M207+O207+Q207+S207+T207+U207+Y207</f>
        <v>0</v>
      </c>
      <c r="X207" s="5">
        <v>20105842.92</v>
      </c>
      <c r="Y207" s="5" t="str">
        <f>W207+X207</f>
        <v>0</v>
      </c>
      <c r="Z207" s="5">
        <v>0</v>
      </c>
      <c r="AA207" s="5" t="str">
        <f>Z207*D207</f>
        <v>0</v>
      </c>
      <c r="AB207" s="5">
        <v>0</v>
      </c>
      <c r="AC207" s="5" t="str">
        <f>AA207*AB207</f>
        <v>0</v>
      </c>
      <c r="AD207" s="5" t="str">
        <f>AC207-Y207</f>
        <v>0</v>
      </c>
      <c r="AE207" s="3" t="s">
        <v>169</v>
      </c>
      <c r="AF207" s="2"/>
    </row>
    <row r="208" spans="1:32">
      <c r="A208" s="3" t="s">
        <v>265</v>
      </c>
      <c r="B208" s="3" t="s">
        <v>267</v>
      </c>
      <c r="C208" s="3">
        <v>105</v>
      </c>
      <c r="D208" s="4">
        <v>18.267</v>
      </c>
      <c r="E208" s="4">
        <v>6.757</v>
      </c>
      <c r="F208" s="3"/>
      <c r="G208" s="5"/>
      <c r="H208" s="3"/>
      <c r="I208" s="5"/>
      <c r="J208" s="3"/>
      <c r="K208" s="5"/>
      <c r="L208" s="3"/>
      <c r="M208" s="5"/>
      <c r="N208" s="3"/>
      <c r="O208" s="5"/>
      <c r="P208" s="3"/>
      <c r="Q208" s="5"/>
      <c r="R208" s="3"/>
      <c r="S208" s="5"/>
      <c r="T208" s="5"/>
      <c r="U208" s="5">
        <v>0</v>
      </c>
      <c r="V208" s="5"/>
      <c r="W208" s="5" t="str">
        <f>G208+I208+K208+M208+O208+Q208+S208+T208+U208+Y208</f>
        <v>0</v>
      </c>
      <c r="X208" s="5">
        <v>19019040.6</v>
      </c>
      <c r="Y208" s="5" t="str">
        <f>W208+X208</f>
        <v>0</v>
      </c>
      <c r="Z208" s="5">
        <v>0</v>
      </c>
      <c r="AA208" s="5" t="str">
        <f>Z208*D208</f>
        <v>0</v>
      </c>
      <c r="AB208" s="5">
        <v>0</v>
      </c>
      <c r="AC208" s="5" t="str">
        <f>AA208*AB208</f>
        <v>0</v>
      </c>
      <c r="AD208" s="5" t="str">
        <f>AC208-Y208</f>
        <v>0</v>
      </c>
      <c r="AE208" s="3" t="s">
        <v>169</v>
      </c>
      <c r="AF208" s="2"/>
    </row>
    <row r="209" spans="1:32">
      <c r="A209" s="3" t="s">
        <v>265</v>
      </c>
      <c r="B209" s="3" t="s">
        <v>268</v>
      </c>
      <c r="C209" s="3">
        <v>347</v>
      </c>
      <c r="D209" s="4">
        <v>17.321</v>
      </c>
      <c r="E209" s="4">
        <v>1.993</v>
      </c>
      <c r="F209" s="3"/>
      <c r="G209" s="5"/>
      <c r="H209" s="3"/>
      <c r="I209" s="5"/>
      <c r="J209" s="3"/>
      <c r="K209" s="5"/>
      <c r="L209" s="3"/>
      <c r="M209" s="5"/>
      <c r="N209" s="3"/>
      <c r="O209" s="5"/>
      <c r="P209" s="3"/>
      <c r="Q209" s="5"/>
      <c r="R209" s="3"/>
      <c r="S209" s="5"/>
      <c r="T209" s="5"/>
      <c r="U209" s="5">
        <v>0</v>
      </c>
      <c r="V209" s="5"/>
      <c r="W209" s="5" t="str">
        <f>G209+I209+K209+M209+O209+Q209+S209+T209+U209+Y209</f>
        <v>0</v>
      </c>
      <c r="X209" s="5">
        <v>13117475.134</v>
      </c>
      <c r="Y209" s="5" t="str">
        <f>W209+X209</f>
        <v>0</v>
      </c>
      <c r="Z209" s="5">
        <v>0</v>
      </c>
      <c r="AA209" s="5" t="str">
        <f>Z209*D209</f>
        <v>0</v>
      </c>
      <c r="AB209" s="5">
        <v>0</v>
      </c>
      <c r="AC209" s="5" t="str">
        <f>AA209*AB209</f>
        <v>0</v>
      </c>
      <c r="AD209" s="5" t="str">
        <f>AC209-Y209</f>
        <v>0</v>
      </c>
      <c r="AE209" s="3" t="s">
        <v>169</v>
      </c>
      <c r="AF209" s="2"/>
    </row>
    <row r="210" spans="1:32">
      <c r="A210" s="3" t="s">
        <v>265</v>
      </c>
      <c r="B210" s="3" t="s">
        <v>269</v>
      </c>
      <c r="C210" s="3">
        <v>66</v>
      </c>
      <c r="D210" s="4">
        <v>16.769</v>
      </c>
      <c r="E210" s="4">
        <v>9.83</v>
      </c>
      <c r="F210" s="3"/>
      <c r="G210" s="5"/>
      <c r="H210" s="3"/>
      <c r="I210" s="5"/>
      <c r="J210" s="3"/>
      <c r="K210" s="5"/>
      <c r="L210" s="3"/>
      <c r="M210" s="5"/>
      <c r="N210" s="3"/>
      <c r="O210" s="5"/>
      <c r="P210" s="3"/>
      <c r="Q210" s="5"/>
      <c r="R210" s="3"/>
      <c r="S210" s="5"/>
      <c r="T210" s="5"/>
      <c r="U210" s="5">
        <v>0</v>
      </c>
      <c r="V210" s="5"/>
      <c r="W210" s="5" t="str">
        <f>G210+I210+K210+M210+O210+Q210+S210+T210+U210+Y210</f>
        <v>0</v>
      </c>
      <c r="X210" s="5">
        <v>16844556.762</v>
      </c>
      <c r="Y210" s="5" t="str">
        <f>W210+X210</f>
        <v>0</v>
      </c>
      <c r="Z210" s="5">
        <v>0</v>
      </c>
      <c r="AA210" s="5" t="str">
        <f>Z210*D210</f>
        <v>0</v>
      </c>
      <c r="AB210" s="5">
        <v>0</v>
      </c>
      <c r="AC210" s="5" t="str">
        <f>AA210*AB210</f>
        <v>0</v>
      </c>
      <c r="AD210" s="5" t="str">
        <f>AC210-Y210</f>
        <v>0</v>
      </c>
      <c r="AE210" s="3" t="s">
        <v>169</v>
      </c>
      <c r="AF210" s="2"/>
    </row>
    <row r="211" spans="1:32">
      <c r="A211" s="3" t="s">
        <v>270</v>
      </c>
      <c r="B211" s="3" t="s">
        <v>271</v>
      </c>
      <c r="C211" s="3">
        <v>343</v>
      </c>
      <c r="D211" s="4">
        <v>17.722</v>
      </c>
      <c r="E211" s="4">
        <v>2.063</v>
      </c>
      <c r="F211" s="3"/>
      <c r="G211" s="5"/>
      <c r="H211" s="3"/>
      <c r="I211" s="5"/>
      <c r="J211" s="3"/>
      <c r="K211" s="5"/>
      <c r="L211" s="3"/>
      <c r="M211" s="5"/>
      <c r="N211" s="3"/>
      <c r="O211" s="5"/>
      <c r="P211" s="3"/>
      <c r="Q211" s="5"/>
      <c r="R211" s="3"/>
      <c r="S211" s="5"/>
      <c r="T211" s="5"/>
      <c r="U211" s="5">
        <v>0</v>
      </c>
      <c r="V211" s="5"/>
      <c r="W211" s="5" t="str">
        <f>G211+I211+K211+M211+O211+Q211+S211+T211+U211+Y211</f>
        <v>0</v>
      </c>
      <c r="X211" s="5">
        <v>18963435.855</v>
      </c>
      <c r="Y211" s="5" t="str">
        <f>W211+X211</f>
        <v>0</v>
      </c>
      <c r="Z211" s="5">
        <v>0</v>
      </c>
      <c r="AA211" s="5" t="str">
        <f>Z211*D211</f>
        <v>0</v>
      </c>
      <c r="AB211" s="5">
        <v>0</v>
      </c>
      <c r="AC211" s="5" t="str">
        <f>AA211*AB211</f>
        <v>0</v>
      </c>
      <c r="AD211" s="5" t="str">
        <f>AC211-Y211</f>
        <v>0</v>
      </c>
      <c r="AE211" s="3" t="s">
        <v>169</v>
      </c>
      <c r="AF211" s="2"/>
    </row>
    <row r="212" spans="1:32">
      <c r="A212" s="3" t="s">
        <v>270</v>
      </c>
      <c r="B212" s="3" t="s">
        <v>272</v>
      </c>
      <c r="C212" s="3">
        <v>314</v>
      </c>
      <c r="D212" s="4">
        <v>18.146</v>
      </c>
      <c r="E212" s="4">
        <v>2.295</v>
      </c>
      <c r="F212" s="3"/>
      <c r="G212" s="5"/>
      <c r="H212" s="3"/>
      <c r="I212" s="5"/>
      <c r="J212" s="3"/>
      <c r="K212" s="5"/>
      <c r="L212" s="3"/>
      <c r="M212" s="5"/>
      <c r="N212" s="3"/>
      <c r="O212" s="5"/>
      <c r="P212" s="3"/>
      <c r="Q212" s="5"/>
      <c r="R212" s="3"/>
      <c r="S212" s="5"/>
      <c r="T212" s="5"/>
      <c r="U212" s="5">
        <v>0</v>
      </c>
      <c r="V212" s="5"/>
      <c r="W212" s="5" t="str">
        <f>G212+I212+K212+M212+O212+Q212+S212+T212+U212+Y212</f>
        <v>0</v>
      </c>
      <c r="X212" s="5">
        <v>17360113.29</v>
      </c>
      <c r="Y212" s="5" t="str">
        <f>W212+X212</f>
        <v>0</v>
      </c>
      <c r="Z212" s="5">
        <v>0</v>
      </c>
      <c r="AA212" s="5" t="str">
        <f>Z212*D212</f>
        <v>0</v>
      </c>
      <c r="AB212" s="5">
        <v>0</v>
      </c>
      <c r="AC212" s="5" t="str">
        <f>AA212*AB212</f>
        <v>0</v>
      </c>
      <c r="AD212" s="5" t="str">
        <f>AC212-Y212</f>
        <v>0</v>
      </c>
      <c r="AE212" s="3" t="s">
        <v>169</v>
      </c>
      <c r="AF212" s="2"/>
    </row>
    <row r="213" spans="1:32">
      <c r="A213" s="3" t="s">
        <v>270</v>
      </c>
      <c r="B213" s="3" t="s">
        <v>273</v>
      </c>
      <c r="C213" s="3">
        <v>369</v>
      </c>
      <c r="D213" s="4">
        <v>17.915</v>
      </c>
      <c r="E213" s="4">
        <v>1.945</v>
      </c>
      <c r="F213" s="3"/>
      <c r="G213" s="5"/>
      <c r="H213" s="3"/>
      <c r="I213" s="5"/>
      <c r="J213" s="3"/>
      <c r="K213" s="5"/>
      <c r="L213" s="3"/>
      <c r="M213" s="5"/>
      <c r="N213" s="3"/>
      <c r="O213" s="5"/>
      <c r="P213" s="3"/>
      <c r="Q213" s="5"/>
      <c r="R213" s="3"/>
      <c r="S213" s="5"/>
      <c r="T213" s="5"/>
      <c r="U213" s="5">
        <v>0</v>
      </c>
      <c r="V213" s="5"/>
      <c r="W213" s="5" t="str">
        <f>G213+I213+K213+M213+O213+Q213+S213+T213+U213+Y213</f>
        <v>0</v>
      </c>
      <c r="X213" s="5">
        <v>20400897.465</v>
      </c>
      <c r="Y213" s="5" t="str">
        <f>W213+X213</f>
        <v>0</v>
      </c>
      <c r="Z213" s="5">
        <v>0</v>
      </c>
      <c r="AA213" s="5" t="str">
        <f>Z213*D213</f>
        <v>0</v>
      </c>
      <c r="AB213" s="5">
        <v>0</v>
      </c>
      <c r="AC213" s="5" t="str">
        <f>AA213*AB213</f>
        <v>0</v>
      </c>
      <c r="AD213" s="5" t="str">
        <f>AC213-Y213</f>
        <v>0</v>
      </c>
      <c r="AE213" s="3" t="s">
        <v>169</v>
      </c>
      <c r="AF213" s="2"/>
    </row>
    <row r="214" spans="1:32">
      <c r="A214" s="3" t="s">
        <v>270</v>
      </c>
      <c r="B214" s="3" t="s">
        <v>274</v>
      </c>
      <c r="C214" s="3">
        <v>361</v>
      </c>
      <c r="D214" s="4">
        <v>17.024</v>
      </c>
      <c r="E214" s="4">
        <v>1.891</v>
      </c>
      <c r="F214" s="3"/>
      <c r="G214" s="5"/>
      <c r="H214" s="3"/>
      <c r="I214" s="5"/>
      <c r="J214" s="3"/>
      <c r="K214" s="5"/>
      <c r="L214" s="3"/>
      <c r="M214" s="5"/>
      <c r="N214" s="3"/>
      <c r="O214" s="5"/>
      <c r="P214" s="3"/>
      <c r="Q214" s="5"/>
      <c r="R214" s="3"/>
      <c r="S214" s="5"/>
      <c r="T214" s="5"/>
      <c r="U214" s="5">
        <v>0</v>
      </c>
      <c r="V214" s="5"/>
      <c r="W214" s="5" t="str">
        <f>G214+I214+K214+M214+O214+Q214+S214+T214+U214+Y214</f>
        <v>0</v>
      </c>
      <c r="X214" s="5">
        <v>19958601.585</v>
      </c>
      <c r="Y214" s="5" t="str">
        <f>W214+X214</f>
        <v>0</v>
      </c>
      <c r="Z214" s="5">
        <v>0</v>
      </c>
      <c r="AA214" s="5" t="str">
        <f>Z214*D214</f>
        <v>0</v>
      </c>
      <c r="AB214" s="5">
        <v>0</v>
      </c>
      <c r="AC214" s="5" t="str">
        <f>AA214*AB214</f>
        <v>0</v>
      </c>
      <c r="AD214" s="5" t="str">
        <f>AC214-Y214</f>
        <v>0</v>
      </c>
      <c r="AE214" s="3" t="s">
        <v>169</v>
      </c>
      <c r="AF214" s="2"/>
    </row>
    <row r="215" spans="1:32">
      <c r="A215" s="3" t="s">
        <v>270</v>
      </c>
      <c r="B215" s="3" t="s">
        <v>275</v>
      </c>
      <c r="C215" s="3">
        <v>53</v>
      </c>
      <c r="D215" s="4">
        <v>16.806</v>
      </c>
      <c r="E215" s="4">
        <v>12.174</v>
      </c>
      <c r="F215" s="3"/>
      <c r="G215" s="5"/>
      <c r="H215" s="3"/>
      <c r="I215" s="5"/>
      <c r="J215" s="3"/>
      <c r="K215" s="5"/>
      <c r="L215" s="3"/>
      <c r="M215" s="5"/>
      <c r="N215" s="3"/>
      <c r="O215" s="5"/>
      <c r="P215" s="3"/>
      <c r="Q215" s="5"/>
      <c r="R215" s="3"/>
      <c r="S215" s="5"/>
      <c r="T215" s="5"/>
      <c r="U215" s="5">
        <v>0</v>
      </c>
      <c r="V215" s="5"/>
      <c r="W215" s="5" t="str">
        <f>G215+I215+K215+M215+O215+Q215+S215+T215+U215+Y215</f>
        <v>0</v>
      </c>
      <c r="X215" s="5">
        <v>2930210.205</v>
      </c>
      <c r="Y215" s="5" t="str">
        <f>W215+X215</f>
        <v>0</v>
      </c>
      <c r="Z215" s="5">
        <v>0</v>
      </c>
      <c r="AA215" s="5" t="str">
        <f>Z215*D215</f>
        <v>0</v>
      </c>
      <c r="AB215" s="5">
        <v>0</v>
      </c>
      <c r="AC215" s="5" t="str">
        <f>AA215*AB215</f>
        <v>0</v>
      </c>
      <c r="AD215" s="5" t="str">
        <f>AC215-Y215</f>
        <v>0</v>
      </c>
      <c r="AE215" s="3" t="s">
        <v>169</v>
      </c>
      <c r="AF215" s="2"/>
    </row>
    <row r="216" spans="1:32">
      <c r="A216" s="3" t="s">
        <v>270</v>
      </c>
      <c r="B216" s="3" t="s">
        <v>276</v>
      </c>
      <c r="C216" s="3">
        <v>53</v>
      </c>
      <c r="D216" s="4">
        <v>14.57</v>
      </c>
      <c r="E216" s="4">
        <v>10.594</v>
      </c>
      <c r="F216" s="3"/>
      <c r="G216" s="5"/>
      <c r="H216" s="3"/>
      <c r="I216" s="5"/>
      <c r="J216" s="3"/>
      <c r="K216" s="5"/>
      <c r="L216" s="3"/>
      <c r="M216" s="5"/>
      <c r="N216" s="3"/>
      <c r="O216" s="5"/>
      <c r="P216" s="3"/>
      <c r="Q216" s="5"/>
      <c r="R216" s="3"/>
      <c r="S216" s="5"/>
      <c r="T216" s="5"/>
      <c r="U216" s="5">
        <v>0</v>
      </c>
      <c r="V216" s="5"/>
      <c r="W216" s="5" t="str">
        <f>G216+I216+K216+M216+O216+Q216+S216+T216+U216+Y216</f>
        <v>0</v>
      </c>
      <c r="X216" s="5">
        <v>2930210.205</v>
      </c>
      <c r="Y216" s="5" t="str">
        <f>W216+X216</f>
        <v>0</v>
      </c>
      <c r="Z216" s="5">
        <v>0</v>
      </c>
      <c r="AA216" s="5" t="str">
        <f>Z216*D216</f>
        <v>0</v>
      </c>
      <c r="AB216" s="5">
        <v>0</v>
      </c>
      <c r="AC216" s="5" t="str">
        <f>AA216*AB216</f>
        <v>0</v>
      </c>
      <c r="AD216" s="5" t="str">
        <f>AC216-Y216</f>
        <v>0</v>
      </c>
      <c r="AE216" s="3" t="s">
        <v>169</v>
      </c>
      <c r="AF216" s="2"/>
    </row>
    <row r="217" spans="1:32">
      <c r="A217" s="3" t="s">
        <v>270</v>
      </c>
      <c r="B217" s="3" t="s">
        <v>277</v>
      </c>
      <c r="C217" s="3">
        <v>65</v>
      </c>
      <c r="D217" s="4">
        <v>3.482</v>
      </c>
      <c r="E217" s="4">
        <v>2.137</v>
      </c>
      <c r="F217" s="3"/>
      <c r="G217" s="5"/>
      <c r="H217" s="3"/>
      <c r="I217" s="5"/>
      <c r="J217" s="3"/>
      <c r="K217" s="5"/>
      <c r="L217" s="3"/>
      <c r="M217" s="5"/>
      <c r="N217" s="3"/>
      <c r="O217" s="5"/>
      <c r="P217" s="3"/>
      <c r="Q217" s="5"/>
      <c r="R217" s="3"/>
      <c r="S217" s="5"/>
      <c r="T217" s="5"/>
      <c r="U217" s="5">
        <v>0</v>
      </c>
      <c r="V217" s="5"/>
      <c r="W217" s="5" t="str">
        <f>G217+I217+K217+M217+O217+Q217+S217+T217+U217+Y217</f>
        <v>0</v>
      </c>
      <c r="X217" s="5">
        <v>3593654.025</v>
      </c>
      <c r="Y217" s="5" t="str">
        <f>W217+X217</f>
        <v>0</v>
      </c>
      <c r="Z217" s="5">
        <v>0</v>
      </c>
      <c r="AA217" s="5" t="str">
        <f>Z217*D217</f>
        <v>0</v>
      </c>
      <c r="AB217" s="5">
        <v>0</v>
      </c>
      <c r="AC217" s="5" t="str">
        <f>AA217*AB217</f>
        <v>0</v>
      </c>
      <c r="AD217" s="5" t="str">
        <f>AC217-Y217</f>
        <v>0</v>
      </c>
      <c r="AE217" s="3" t="s">
        <v>169</v>
      </c>
      <c r="AF217" s="2"/>
    </row>
    <row r="218" spans="1:32">
      <c r="A218" s="3" t="s">
        <v>278</v>
      </c>
      <c r="B218" s="3" t="s">
        <v>279</v>
      </c>
      <c r="C218" s="3">
        <v>106</v>
      </c>
      <c r="D218" s="4">
        <v>18.138</v>
      </c>
      <c r="E218" s="4">
        <v>6.64</v>
      </c>
      <c r="F218" s="3"/>
      <c r="G218" s="5"/>
      <c r="H218" s="3"/>
      <c r="I218" s="5"/>
      <c r="J218" s="3"/>
      <c r="K218" s="5"/>
      <c r="L218" s="3"/>
      <c r="M218" s="5"/>
      <c r="N218" s="3"/>
      <c r="O218" s="5"/>
      <c r="P218" s="3"/>
      <c r="Q218" s="5"/>
      <c r="R218" s="3"/>
      <c r="S218" s="5"/>
      <c r="T218" s="5"/>
      <c r="U218" s="5">
        <v>0</v>
      </c>
      <c r="V218" s="5"/>
      <c r="W218" s="5" t="str">
        <f>G218+I218+K218+M218+O218+Q218+S218+T218+U218+Y218</f>
        <v>0</v>
      </c>
      <c r="X218" s="5">
        <v>17116984.304</v>
      </c>
      <c r="Y218" s="5" t="str">
        <f>W218+X218</f>
        <v>0</v>
      </c>
      <c r="Z218" s="5">
        <v>0</v>
      </c>
      <c r="AA218" s="5" t="str">
        <f>Z218*D218</f>
        <v>0</v>
      </c>
      <c r="AB218" s="5">
        <v>0</v>
      </c>
      <c r="AC218" s="5" t="str">
        <f>AA218*AB218</f>
        <v>0</v>
      </c>
      <c r="AD218" s="5" t="str">
        <f>AC218-Y218</f>
        <v>0</v>
      </c>
      <c r="AE218" s="3" t="s">
        <v>169</v>
      </c>
      <c r="AF218" s="2"/>
    </row>
    <row r="219" spans="1:32">
      <c r="A219" s="3" t="s">
        <v>278</v>
      </c>
      <c r="B219" s="3" t="s">
        <v>280</v>
      </c>
      <c r="C219" s="3">
        <v>335</v>
      </c>
      <c r="D219" s="4">
        <v>17.455</v>
      </c>
      <c r="E219" s="4">
        <v>2.079</v>
      </c>
      <c r="F219" s="3"/>
      <c r="G219" s="5"/>
      <c r="H219" s="3"/>
      <c r="I219" s="5"/>
      <c r="J219" s="3"/>
      <c r="K219" s="5"/>
      <c r="L219" s="3"/>
      <c r="M219" s="5"/>
      <c r="N219" s="3"/>
      <c r="O219" s="5"/>
      <c r="P219" s="3"/>
      <c r="Q219" s="5"/>
      <c r="R219" s="3"/>
      <c r="S219" s="5"/>
      <c r="T219" s="5"/>
      <c r="U219" s="5">
        <v>0</v>
      </c>
      <c r="V219" s="5"/>
      <c r="W219" s="5" t="str">
        <f>G219+I219+K219+M219+O219+Q219+S219+T219+U219+Y219</f>
        <v>0</v>
      </c>
      <c r="X219" s="5">
        <v>19614012.15</v>
      </c>
      <c r="Y219" s="5" t="str">
        <f>W219+X219</f>
        <v>0</v>
      </c>
      <c r="Z219" s="5">
        <v>0</v>
      </c>
      <c r="AA219" s="5" t="str">
        <f>Z219*D219</f>
        <v>0</v>
      </c>
      <c r="AB219" s="5">
        <v>0</v>
      </c>
      <c r="AC219" s="5" t="str">
        <f>AA219*AB219</f>
        <v>0</v>
      </c>
      <c r="AD219" s="5" t="str">
        <f>AC219-Y219</f>
        <v>0</v>
      </c>
      <c r="AE219" s="3" t="s">
        <v>169</v>
      </c>
      <c r="AF219" s="2"/>
    </row>
    <row r="220" spans="1:32">
      <c r="A220" s="3" t="s">
        <v>278</v>
      </c>
      <c r="B220" s="3" t="s">
        <v>281</v>
      </c>
      <c r="C220" s="3">
        <v>61</v>
      </c>
      <c r="D220" s="4">
        <v>17.955</v>
      </c>
      <c r="E220" s="4">
        <v>11.33</v>
      </c>
      <c r="F220" s="3"/>
      <c r="G220" s="5"/>
      <c r="H220" s="3"/>
      <c r="I220" s="5"/>
      <c r="J220" s="3"/>
      <c r="K220" s="5"/>
      <c r="L220" s="3"/>
      <c r="M220" s="5"/>
      <c r="N220" s="3"/>
      <c r="O220" s="5"/>
      <c r="P220" s="3"/>
      <c r="Q220" s="5"/>
      <c r="R220" s="3"/>
      <c r="S220" s="5"/>
      <c r="T220" s="5"/>
      <c r="U220" s="5">
        <v>0</v>
      </c>
      <c r="V220" s="5"/>
      <c r="W220" s="5" t="str">
        <f>G220+I220+K220+M220+O220+Q220+S220+T220+U220+Y220</f>
        <v>0</v>
      </c>
      <c r="X220" s="5">
        <v>15285894.962</v>
      </c>
      <c r="Y220" s="5" t="str">
        <f>W220+X220</f>
        <v>0</v>
      </c>
      <c r="Z220" s="5">
        <v>0</v>
      </c>
      <c r="AA220" s="5" t="str">
        <f>Z220*D220</f>
        <v>0</v>
      </c>
      <c r="AB220" s="5">
        <v>0</v>
      </c>
      <c r="AC220" s="5" t="str">
        <f>AA220*AB220</f>
        <v>0</v>
      </c>
      <c r="AD220" s="5" t="str">
        <f>AC220-Y220</f>
        <v>0</v>
      </c>
      <c r="AE220" s="3" t="s">
        <v>169</v>
      </c>
      <c r="AF220" s="2"/>
    </row>
    <row r="221" spans="1:32">
      <c r="A221" s="3" t="s">
        <v>278</v>
      </c>
      <c r="B221" s="3" t="s">
        <v>282</v>
      </c>
      <c r="C221" s="3">
        <v>107</v>
      </c>
      <c r="D221" s="4">
        <v>17.902</v>
      </c>
      <c r="E221" s="4">
        <v>6.497</v>
      </c>
      <c r="F221" s="3"/>
      <c r="G221" s="5"/>
      <c r="H221" s="3"/>
      <c r="I221" s="5"/>
      <c r="J221" s="3"/>
      <c r="K221" s="5"/>
      <c r="L221" s="3"/>
      <c r="M221" s="5"/>
      <c r="N221" s="3"/>
      <c r="O221" s="5"/>
      <c r="P221" s="3"/>
      <c r="Q221" s="5"/>
      <c r="R221" s="3"/>
      <c r="S221" s="5"/>
      <c r="T221" s="5"/>
      <c r="U221" s="5">
        <v>0</v>
      </c>
      <c r="V221" s="5"/>
      <c r="W221" s="5" t="str">
        <f>G221+I221+K221+M221+O221+Q221+S221+T221+U221+Y221</f>
        <v>0</v>
      </c>
      <c r="X221" s="5">
        <v>17278465.288</v>
      </c>
      <c r="Y221" s="5" t="str">
        <f>W221+X221</f>
        <v>0</v>
      </c>
      <c r="Z221" s="5">
        <v>0</v>
      </c>
      <c r="AA221" s="5" t="str">
        <f>Z221*D221</f>
        <v>0</v>
      </c>
      <c r="AB221" s="5">
        <v>0</v>
      </c>
      <c r="AC221" s="5" t="str">
        <f>AA221*AB221</f>
        <v>0</v>
      </c>
      <c r="AD221" s="5" t="str">
        <f>AC221-Y221</f>
        <v>0</v>
      </c>
      <c r="AE221" s="3" t="s">
        <v>169</v>
      </c>
      <c r="AF221" s="2"/>
    </row>
    <row r="222" spans="1:32">
      <c r="A222" s="3" t="s">
        <v>278</v>
      </c>
      <c r="B222" s="3" t="s">
        <v>283</v>
      </c>
      <c r="C222" s="3">
        <v>314</v>
      </c>
      <c r="D222" s="4">
        <v>17.581</v>
      </c>
      <c r="E222" s="4">
        <v>2.227</v>
      </c>
      <c r="F222" s="3"/>
      <c r="G222" s="5"/>
      <c r="H222" s="3"/>
      <c r="I222" s="5"/>
      <c r="J222" s="3"/>
      <c r="K222" s="5"/>
      <c r="L222" s="3"/>
      <c r="M222" s="5"/>
      <c r="N222" s="3"/>
      <c r="O222" s="5"/>
      <c r="P222" s="3"/>
      <c r="Q222" s="5"/>
      <c r="R222" s="3"/>
      <c r="S222" s="5"/>
      <c r="T222" s="5"/>
      <c r="U222" s="5">
        <v>0</v>
      </c>
      <c r="V222" s="5"/>
      <c r="W222" s="5" t="str">
        <f>G222+I222+K222+M222+O222+Q222+S222+T222+U222+Y222</f>
        <v>0</v>
      </c>
      <c r="X222" s="5">
        <v>18384477.06</v>
      </c>
      <c r="Y222" s="5" t="str">
        <f>W222+X222</f>
        <v>0</v>
      </c>
      <c r="Z222" s="5">
        <v>0</v>
      </c>
      <c r="AA222" s="5" t="str">
        <f>Z222*D222</f>
        <v>0</v>
      </c>
      <c r="AB222" s="5">
        <v>0</v>
      </c>
      <c r="AC222" s="5" t="str">
        <f>AA222*AB222</f>
        <v>0</v>
      </c>
      <c r="AD222" s="5" t="str">
        <f>AC222-Y222</f>
        <v>0</v>
      </c>
      <c r="AE222" s="3" t="s">
        <v>169</v>
      </c>
      <c r="AF222" s="2"/>
    </row>
    <row r="223" spans="1:32">
      <c r="A223" s="3" t="s">
        <v>278</v>
      </c>
      <c r="B223" s="3" t="s">
        <v>284</v>
      </c>
      <c r="C223" s="3">
        <v>63</v>
      </c>
      <c r="D223" s="4">
        <v>16.364</v>
      </c>
      <c r="E223" s="4">
        <v>10.048</v>
      </c>
      <c r="F223" s="3"/>
      <c r="G223" s="5"/>
      <c r="H223" s="3"/>
      <c r="I223" s="5"/>
      <c r="J223" s="3"/>
      <c r="K223" s="5"/>
      <c r="L223" s="3"/>
      <c r="M223" s="5"/>
      <c r="N223" s="3"/>
      <c r="O223" s="5"/>
      <c r="P223" s="3"/>
      <c r="Q223" s="5"/>
      <c r="R223" s="3"/>
      <c r="S223" s="5"/>
      <c r="T223" s="5"/>
      <c r="U223" s="5">
        <v>0</v>
      </c>
      <c r="V223" s="5"/>
      <c r="W223" s="5" t="str">
        <f>G223+I223+K223+M223+O223+Q223+S223+T223+U223+Y223</f>
        <v>0</v>
      </c>
      <c r="X223" s="5">
        <v>15787071.846</v>
      </c>
      <c r="Y223" s="5" t="str">
        <f>W223+X223</f>
        <v>0</v>
      </c>
      <c r="Z223" s="5">
        <v>0</v>
      </c>
      <c r="AA223" s="5" t="str">
        <f>Z223*D223</f>
        <v>0</v>
      </c>
      <c r="AB223" s="5">
        <v>0</v>
      </c>
      <c r="AC223" s="5" t="str">
        <f>AA223*AB223</f>
        <v>0</v>
      </c>
      <c r="AD223" s="5" t="str">
        <f>AC223-Y223</f>
        <v>0</v>
      </c>
      <c r="AE223" s="3" t="s">
        <v>169</v>
      </c>
      <c r="AF223" s="2"/>
    </row>
    <row r="224" spans="1:32">
      <c r="A224" s="3" t="s">
        <v>278</v>
      </c>
      <c r="B224" s="3" t="s">
        <v>285</v>
      </c>
      <c r="C224" s="3">
        <v>333</v>
      </c>
      <c r="D224" s="4">
        <v>17.432</v>
      </c>
      <c r="E224" s="4">
        <v>2.088</v>
      </c>
      <c r="F224" s="3"/>
      <c r="G224" s="5"/>
      <c r="H224" s="3"/>
      <c r="I224" s="5"/>
      <c r="J224" s="3"/>
      <c r="K224" s="5"/>
      <c r="L224" s="3"/>
      <c r="M224" s="5"/>
      <c r="N224" s="3"/>
      <c r="O224" s="5"/>
      <c r="P224" s="3"/>
      <c r="Q224" s="5"/>
      <c r="R224" s="3"/>
      <c r="S224" s="5"/>
      <c r="T224" s="5"/>
      <c r="U224" s="5">
        <v>0</v>
      </c>
      <c r="V224" s="5"/>
      <c r="W224" s="5" t="str">
        <f>G224+I224+K224+M224+O224+Q224+S224+T224+U224+Y224</f>
        <v>0</v>
      </c>
      <c r="X224" s="5">
        <v>19496913.57</v>
      </c>
      <c r="Y224" s="5" t="str">
        <f>W224+X224</f>
        <v>0</v>
      </c>
      <c r="Z224" s="5">
        <v>0</v>
      </c>
      <c r="AA224" s="5" t="str">
        <f>Z224*D224</f>
        <v>0</v>
      </c>
      <c r="AB224" s="5">
        <v>0</v>
      </c>
      <c r="AC224" s="5" t="str">
        <f>AA224*AB224</f>
        <v>0</v>
      </c>
      <c r="AD224" s="5" t="str">
        <f>AC224-Y224</f>
        <v>0</v>
      </c>
      <c r="AE224" s="3" t="s">
        <v>169</v>
      </c>
      <c r="AF224" s="2"/>
    </row>
    <row r="225" spans="1:32">
      <c r="A225" s="3" t="s">
        <v>278</v>
      </c>
      <c r="B225" s="3" t="s">
        <v>286</v>
      </c>
      <c r="C225" s="3">
        <v>313</v>
      </c>
      <c r="D225" s="4">
        <v>17.877</v>
      </c>
      <c r="E225" s="4">
        <v>2.269</v>
      </c>
      <c r="F225" s="3"/>
      <c r="G225" s="5"/>
      <c r="H225" s="3"/>
      <c r="I225" s="5"/>
      <c r="J225" s="3"/>
      <c r="K225" s="5"/>
      <c r="L225" s="3"/>
      <c r="M225" s="5"/>
      <c r="N225" s="3"/>
      <c r="O225" s="5"/>
      <c r="P225" s="3"/>
      <c r="Q225" s="5"/>
      <c r="R225" s="3"/>
      <c r="S225" s="5"/>
      <c r="T225" s="5"/>
      <c r="U225" s="5">
        <v>0</v>
      </c>
      <c r="V225" s="5"/>
      <c r="W225" s="5" t="str">
        <f>G225+I225+K225+M225+O225+Q225+S225+T225+U225+Y225</f>
        <v>0</v>
      </c>
      <c r="X225" s="5">
        <v>18325927.77</v>
      </c>
      <c r="Y225" s="5" t="str">
        <f>W225+X225</f>
        <v>0</v>
      </c>
      <c r="Z225" s="5">
        <v>0</v>
      </c>
      <c r="AA225" s="5" t="str">
        <f>Z225*D225</f>
        <v>0</v>
      </c>
      <c r="AB225" s="5">
        <v>0</v>
      </c>
      <c r="AC225" s="5" t="str">
        <f>AA225*AB225</f>
        <v>0</v>
      </c>
      <c r="AD225" s="5" t="str">
        <f>AC225-Y225</f>
        <v>0</v>
      </c>
      <c r="AE225" s="3" t="s">
        <v>169</v>
      </c>
      <c r="AF225" s="2"/>
    </row>
    <row r="226" spans="1:32">
      <c r="A226" s="3" t="s">
        <v>278</v>
      </c>
      <c r="B226" s="3" t="s">
        <v>287</v>
      </c>
      <c r="C226" s="3">
        <v>138</v>
      </c>
      <c r="D226" s="4">
        <v>17.726</v>
      </c>
      <c r="E226" s="4">
        <v>5.043</v>
      </c>
      <c r="F226" s="3"/>
      <c r="G226" s="5"/>
      <c r="H226" s="3"/>
      <c r="I226" s="5"/>
      <c r="J226" s="3"/>
      <c r="K226" s="5"/>
      <c r="L226" s="3"/>
      <c r="M226" s="5"/>
      <c r="N226" s="3"/>
      <c r="O226" s="5"/>
      <c r="P226" s="3"/>
      <c r="Q226" s="5"/>
      <c r="R226" s="3"/>
      <c r="S226" s="5"/>
      <c r="T226" s="5"/>
      <c r="U226" s="5">
        <v>0</v>
      </c>
      <c r="V226" s="5"/>
      <c r="W226" s="5" t="str">
        <f>G226+I226+K226+M226+O226+Q226+S226+T226+U226+Y226</f>
        <v>0</v>
      </c>
      <c r="X226" s="5">
        <v>22284375.792</v>
      </c>
      <c r="Y226" s="5" t="str">
        <f>W226+X226</f>
        <v>0</v>
      </c>
      <c r="Z226" s="5">
        <v>0</v>
      </c>
      <c r="AA226" s="5" t="str">
        <f>Z226*D226</f>
        <v>0</v>
      </c>
      <c r="AB226" s="5">
        <v>0</v>
      </c>
      <c r="AC226" s="5" t="str">
        <f>AA226*AB226</f>
        <v>0</v>
      </c>
      <c r="AD226" s="5" t="str">
        <f>AC226-Y226</f>
        <v>0</v>
      </c>
      <c r="AE226" s="3" t="s">
        <v>169</v>
      </c>
      <c r="AF226" s="2"/>
    </row>
    <row r="227" spans="1:32">
      <c r="A227" s="3" t="s">
        <v>278</v>
      </c>
      <c r="B227" s="3" t="s">
        <v>288</v>
      </c>
      <c r="C227" s="3">
        <v>73</v>
      </c>
      <c r="D227" s="4">
        <v>15.923</v>
      </c>
      <c r="E227" s="4">
        <v>8.481</v>
      </c>
      <c r="F227" s="3"/>
      <c r="G227" s="5"/>
      <c r="H227" s="3"/>
      <c r="I227" s="5"/>
      <c r="J227" s="3"/>
      <c r="K227" s="5"/>
      <c r="L227" s="3"/>
      <c r="M227" s="5"/>
      <c r="N227" s="3"/>
      <c r="O227" s="5"/>
      <c r="P227" s="3"/>
      <c r="Q227" s="5"/>
      <c r="R227" s="3"/>
      <c r="S227" s="5"/>
      <c r="T227" s="5"/>
      <c r="U227" s="5">
        <v>0</v>
      </c>
      <c r="V227" s="5"/>
      <c r="W227" s="5" t="str">
        <f>G227+I227+K227+M227+O227+Q227+S227+T227+U227+Y227</f>
        <v>0</v>
      </c>
      <c r="X227" s="5">
        <v>18292956.266</v>
      </c>
      <c r="Y227" s="5" t="str">
        <f>W227+X227</f>
        <v>0</v>
      </c>
      <c r="Z227" s="5">
        <v>0</v>
      </c>
      <c r="AA227" s="5" t="str">
        <f>Z227*D227</f>
        <v>0</v>
      </c>
      <c r="AB227" s="5">
        <v>0</v>
      </c>
      <c r="AC227" s="5" t="str">
        <f>AA227*AB227</f>
        <v>0</v>
      </c>
      <c r="AD227" s="5" t="str">
        <f>AC227-Y227</f>
        <v>0</v>
      </c>
      <c r="AE227" s="3" t="s">
        <v>169</v>
      </c>
      <c r="AF227" s="2"/>
    </row>
    <row r="228" spans="1:32">
      <c r="A228" s="3" t="s">
        <v>289</v>
      </c>
      <c r="B228" s="3" t="s">
        <v>290</v>
      </c>
      <c r="C228" s="3">
        <v>302</v>
      </c>
      <c r="D228" s="4">
        <v>17.263</v>
      </c>
      <c r="E228" s="4">
        <v>2.27</v>
      </c>
      <c r="F228" s="3"/>
      <c r="G228" s="5"/>
      <c r="H228" s="3"/>
      <c r="I228" s="5"/>
      <c r="J228" s="3"/>
      <c r="K228" s="5"/>
      <c r="L228" s="3"/>
      <c r="M228" s="5"/>
      <c r="N228" s="3"/>
      <c r="O228" s="5"/>
      <c r="P228" s="3"/>
      <c r="Q228" s="5"/>
      <c r="R228" s="3"/>
      <c r="S228" s="5"/>
      <c r="T228" s="5"/>
      <c r="U228" s="5">
        <v>0</v>
      </c>
      <c r="V228" s="5"/>
      <c r="W228" s="5" t="str">
        <f>G228+I228+K228+M228+O228+Q228+S228+T228+U228+Y228</f>
        <v>0</v>
      </c>
      <c r="X228" s="5">
        <v>32357856.44</v>
      </c>
      <c r="Y228" s="5" t="str">
        <f>W228+X228</f>
        <v>0</v>
      </c>
      <c r="Z228" s="5">
        <v>0</v>
      </c>
      <c r="AA228" s="5" t="str">
        <f>Z228*D228</f>
        <v>0</v>
      </c>
      <c r="AB228" s="5">
        <v>0</v>
      </c>
      <c r="AC228" s="5" t="str">
        <f>AA228*AB228</f>
        <v>0</v>
      </c>
      <c r="AD228" s="5" t="str">
        <f>AC228-Y228</f>
        <v>0</v>
      </c>
      <c r="AE228" s="3" t="s">
        <v>169</v>
      </c>
      <c r="AF228" s="2"/>
    </row>
    <row r="229" spans="1:32">
      <c r="A229" s="3" t="s">
        <v>289</v>
      </c>
      <c r="B229" s="3" t="s">
        <v>291</v>
      </c>
      <c r="C229" s="3">
        <v>295</v>
      </c>
      <c r="D229" s="4">
        <v>17.912</v>
      </c>
      <c r="E229" s="4">
        <v>2.406</v>
      </c>
      <c r="F229" s="3"/>
      <c r="G229" s="5"/>
      <c r="H229" s="3"/>
      <c r="I229" s="5"/>
      <c r="J229" s="3"/>
      <c r="K229" s="5"/>
      <c r="L229" s="3"/>
      <c r="M229" s="5"/>
      <c r="N229" s="3"/>
      <c r="O229" s="5"/>
      <c r="P229" s="3"/>
      <c r="Q229" s="5"/>
      <c r="R229" s="3"/>
      <c r="S229" s="5"/>
      <c r="T229" s="5"/>
      <c r="U229" s="5">
        <v>0</v>
      </c>
      <c r="V229" s="5"/>
      <c r="W229" s="5" t="str">
        <f>G229+I229+K229+M229+O229+Q229+S229+T229+U229+Y229</f>
        <v>0</v>
      </c>
      <c r="X229" s="5">
        <v>31607839.9</v>
      </c>
      <c r="Y229" s="5" t="str">
        <f>W229+X229</f>
        <v>0</v>
      </c>
      <c r="Z229" s="5">
        <v>0</v>
      </c>
      <c r="AA229" s="5" t="str">
        <f>Z229*D229</f>
        <v>0</v>
      </c>
      <c r="AB229" s="5">
        <v>0</v>
      </c>
      <c r="AC229" s="5" t="str">
        <f>AA229*AB229</f>
        <v>0</v>
      </c>
      <c r="AD229" s="5" t="str">
        <f>AC229-Y229</f>
        <v>0</v>
      </c>
      <c r="AE229" s="3" t="s">
        <v>169</v>
      </c>
      <c r="AF229" s="2"/>
    </row>
    <row r="230" spans="1:32">
      <c r="A230" s="3" t="s">
        <v>289</v>
      </c>
      <c r="B230" s="3" t="s">
        <v>292</v>
      </c>
      <c r="C230" s="3">
        <v>108</v>
      </c>
      <c r="D230" s="4">
        <v>17.921</v>
      </c>
      <c r="E230" s="4">
        <v>6.457</v>
      </c>
      <c r="F230" s="3"/>
      <c r="G230" s="5"/>
      <c r="H230" s="3"/>
      <c r="I230" s="5"/>
      <c r="J230" s="3"/>
      <c r="K230" s="5"/>
      <c r="L230" s="3"/>
      <c r="M230" s="5"/>
      <c r="N230" s="3"/>
      <c r="O230" s="5"/>
      <c r="P230" s="3"/>
      <c r="Q230" s="5"/>
      <c r="R230" s="3"/>
      <c r="S230" s="5"/>
      <c r="T230" s="5"/>
      <c r="U230" s="5">
        <v>0</v>
      </c>
      <c r="V230" s="5"/>
      <c r="W230" s="5" t="str">
        <f>G230+I230+K230+M230+O230+Q230+S230+T230+U230+Y230</f>
        <v>0</v>
      </c>
      <c r="X230" s="5">
        <v>11571683.76</v>
      </c>
      <c r="Y230" s="5" t="str">
        <f>W230+X230</f>
        <v>0</v>
      </c>
      <c r="Z230" s="5">
        <v>0</v>
      </c>
      <c r="AA230" s="5" t="str">
        <f>Z230*D230</f>
        <v>0</v>
      </c>
      <c r="AB230" s="5">
        <v>0</v>
      </c>
      <c r="AC230" s="5" t="str">
        <f>AA230*AB230</f>
        <v>0</v>
      </c>
      <c r="AD230" s="5" t="str">
        <f>AC230-Y230</f>
        <v>0</v>
      </c>
      <c r="AE230" s="3" t="s">
        <v>169</v>
      </c>
      <c r="AF230" s="2"/>
    </row>
    <row r="231" spans="1:32">
      <c r="A231" s="3" t="s">
        <v>289</v>
      </c>
      <c r="B231" s="3" t="s">
        <v>293</v>
      </c>
      <c r="C231" s="3">
        <v>120</v>
      </c>
      <c r="D231" s="4">
        <v>17.896</v>
      </c>
      <c r="E231" s="4">
        <v>5.813</v>
      </c>
      <c r="F231" s="3"/>
      <c r="G231" s="5"/>
      <c r="H231" s="3"/>
      <c r="I231" s="5"/>
      <c r="J231" s="3"/>
      <c r="K231" s="5"/>
      <c r="L231" s="3"/>
      <c r="M231" s="5"/>
      <c r="N231" s="3"/>
      <c r="O231" s="5"/>
      <c r="P231" s="3"/>
      <c r="Q231" s="5"/>
      <c r="R231" s="3"/>
      <c r="S231" s="5"/>
      <c r="T231" s="5"/>
      <c r="U231" s="5">
        <v>0</v>
      </c>
      <c r="V231" s="5"/>
      <c r="W231" s="5" t="str">
        <f>G231+I231+K231+M231+O231+Q231+S231+T231+U231+Y231</f>
        <v>0</v>
      </c>
      <c r="X231" s="5">
        <v>12857426.4</v>
      </c>
      <c r="Y231" s="5" t="str">
        <f>W231+X231</f>
        <v>0</v>
      </c>
      <c r="Z231" s="5">
        <v>0</v>
      </c>
      <c r="AA231" s="5" t="str">
        <f>Z231*D231</f>
        <v>0</v>
      </c>
      <c r="AB231" s="5">
        <v>0</v>
      </c>
      <c r="AC231" s="5" t="str">
        <f>AA231*AB231</f>
        <v>0</v>
      </c>
      <c r="AD231" s="5" t="str">
        <f>AC231-Y231</f>
        <v>0</v>
      </c>
      <c r="AE231" s="3" t="s">
        <v>169</v>
      </c>
      <c r="AF231" s="2"/>
    </row>
    <row r="232" spans="1:32">
      <c r="A232" s="3" t="s">
        <v>289</v>
      </c>
      <c r="B232" s="3" t="s">
        <v>294</v>
      </c>
      <c r="C232" s="3">
        <v>77</v>
      </c>
      <c r="D232" s="4">
        <v>15.744</v>
      </c>
      <c r="E232" s="4">
        <v>7.957</v>
      </c>
      <c r="F232" s="3"/>
      <c r="G232" s="5"/>
      <c r="H232" s="3"/>
      <c r="I232" s="5"/>
      <c r="J232" s="3"/>
      <c r="K232" s="5"/>
      <c r="L232" s="3"/>
      <c r="M232" s="5"/>
      <c r="N232" s="3"/>
      <c r="O232" s="5"/>
      <c r="P232" s="3"/>
      <c r="Q232" s="5"/>
      <c r="R232" s="3"/>
      <c r="S232" s="5"/>
      <c r="T232" s="5"/>
      <c r="U232" s="5">
        <v>0</v>
      </c>
      <c r="V232" s="5"/>
      <c r="W232" s="5" t="str">
        <f>G232+I232+K232+M232+O232+Q232+S232+T232+U232+Y232</f>
        <v>0</v>
      </c>
      <c r="X232" s="5">
        <v>8250181.94</v>
      </c>
      <c r="Y232" s="5" t="str">
        <f>W232+X232</f>
        <v>0</v>
      </c>
      <c r="Z232" s="5">
        <v>0</v>
      </c>
      <c r="AA232" s="5" t="str">
        <f>Z232*D232</f>
        <v>0</v>
      </c>
      <c r="AB232" s="5">
        <v>0</v>
      </c>
      <c r="AC232" s="5" t="str">
        <f>AA232*AB232</f>
        <v>0</v>
      </c>
      <c r="AD232" s="5" t="str">
        <f>AC232-Y232</f>
        <v>0</v>
      </c>
      <c r="AE232" s="3" t="s">
        <v>169</v>
      </c>
      <c r="AF232" s="2"/>
    </row>
    <row r="233" spans="1:32">
      <c r="A233" s="3" t="s">
        <v>289</v>
      </c>
      <c r="B233" s="3" t="s">
        <v>295</v>
      </c>
      <c r="C233" s="3">
        <v>66</v>
      </c>
      <c r="D233" s="4">
        <v>16.529</v>
      </c>
      <c r="E233" s="4">
        <v>9.697</v>
      </c>
      <c r="F233" s="3"/>
      <c r="G233" s="5"/>
      <c r="H233" s="3"/>
      <c r="I233" s="5"/>
      <c r="J233" s="3"/>
      <c r="K233" s="5"/>
      <c r="L233" s="3"/>
      <c r="M233" s="5"/>
      <c r="N233" s="3"/>
      <c r="O233" s="5"/>
      <c r="P233" s="3"/>
      <c r="Q233" s="5"/>
      <c r="R233" s="3"/>
      <c r="S233" s="5"/>
      <c r="T233" s="5"/>
      <c r="U233" s="5">
        <v>0</v>
      </c>
      <c r="V233" s="5"/>
      <c r="W233" s="5" t="str">
        <f>G233+I233+K233+M233+O233+Q233+S233+T233+U233+Y233</f>
        <v>0</v>
      </c>
      <c r="X233" s="5">
        <v>7071584.52</v>
      </c>
      <c r="Y233" s="5" t="str">
        <f>W233+X233</f>
        <v>0</v>
      </c>
      <c r="Z233" s="5">
        <v>0</v>
      </c>
      <c r="AA233" s="5" t="str">
        <f>Z233*D233</f>
        <v>0</v>
      </c>
      <c r="AB233" s="5">
        <v>0</v>
      </c>
      <c r="AC233" s="5" t="str">
        <f>AA233*AB233</f>
        <v>0</v>
      </c>
      <c r="AD233" s="5" t="str">
        <f>AC233-Y233</f>
        <v>0</v>
      </c>
      <c r="AE233" s="3" t="s">
        <v>169</v>
      </c>
      <c r="AF233" s="2"/>
    </row>
    <row r="234" spans="1:32">
      <c r="A234" s="3" t="s">
        <v>289</v>
      </c>
      <c r="B234" s="3" t="s">
        <v>296</v>
      </c>
      <c r="C234" s="3">
        <v>70</v>
      </c>
      <c r="D234" s="4">
        <v>16.637</v>
      </c>
      <c r="E234" s="4">
        <v>9.219</v>
      </c>
      <c r="F234" s="3"/>
      <c r="G234" s="5"/>
      <c r="H234" s="3"/>
      <c r="I234" s="5"/>
      <c r="J234" s="3"/>
      <c r="K234" s="5"/>
      <c r="L234" s="3"/>
      <c r="M234" s="5"/>
      <c r="N234" s="3"/>
      <c r="O234" s="5"/>
      <c r="P234" s="3"/>
      <c r="Q234" s="5"/>
      <c r="R234" s="3"/>
      <c r="S234" s="5"/>
      <c r="T234" s="5"/>
      <c r="U234" s="5">
        <v>0</v>
      </c>
      <c r="V234" s="5"/>
      <c r="W234" s="5" t="str">
        <f>G234+I234+K234+M234+O234+Q234+S234+T234+U234+Y234</f>
        <v>0</v>
      </c>
      <c r="X234" s="5">
        <v>7500165.4</v>
      </c>
      <c r="Y234" s="5" t="str">
        <f>W234+X234</f>
        <v>0</v>
      </c>
      <c r="Z234" s="5">
        <v>0</v>
      </c>
      <c r="AA234" s="5" t="str">
        <f>Z234*D234</f>
        <v>0</v>
      </c>
      <c r="AB234" s="5">
        <v>0</v>
      </c>
      <c r="AC234" s="5" t="str">
        <f>AA234*AB234</f>
        <v>0</v>
      </c>
      <c r="AD234" s="5" t="str">
        <f>AC234-Y234</f>
        <v>0</v>
      </c>
      <c r="AE234" s="3" t="s">
        <v>169</v>
      </c>
      <c r="AF234" s="2"/>
    </row>
    <row r="235" spans="1:32">
      <c r="A235" s="3" t="s">
        <v>289</v>
      </c>
      <c r="B235" s="3" t="s">
        <v>297</v>
      </c>
      <c r="C235" s="3">
        <v>329</v>
      </c>
      <c r="D235" s="4">
        <v>17.581</v>
      </c>
      <c r="E235" s="4">
        <v>2.131</v>
      </c>
      <c r="F235" s="3"/>
      <c r="G235" s="5"/>
      <c r="H235" s="3"/>
      <c r="I235" s="5"/>
      <c r="J235" s="3"/>
      <c r="K235" s="5"/>
      <c r="L235" s="3"/>
      <c r="M235" s="5"/>
      <c r="N235" s="3"/>
      <c r="O235" s="5"/>
      <c r="P235" s="3"/>
      <c r="Q235" s="5"/>
      <c r="R235" s="3"/>
      <c r="S235" s="5"/>
      <c r="T235" s="5"/>
      <c r="U235" s="5">
        <v>0</v>
      </c>
      <c r="V235" s="5"/>
      <c r="W235" s="5" t="str">
        <f>G235+I235+K235+M235+O235+Q235+S235+T235+U235+Y235</f>
        <v>0</v>
      </c>
      <c r="X235" s="5">
        <v>35250777.38</v>
      </c>
      <c r="Y235" s="5" t="str">
        <f>W235+X235</f>
        <v>0</v>
      </c>
      <c r="Z235" s="5">
        <v>0</v>
      </c>
      <c r="AA235" s="5" t="str">
        <f>Z235*D235</f>
        <v>0</v>
      </c>
      <c r="AB235" s="5">
        <v>0</v>
      </c>
      <c r="AC235" s="5" t="str">
        <f>AA235*AB235</f>
        <v>0</v>
      </c>
      <c r="AD235" s="5" t="str">
        <f>AC235-Y235</f>
        <v>0</v>
      </c>
      <c r="AE235" s="3" t="s">
        <v>169</v>
      </c>
      <c r="AF235" s="2"/>
    </row>
    <row r="236" spans="1:32">
      <c r="A236" s="3" t="s">
        <v>289</v>
      </c>
      <c r="B236" s="3" t="s">
        <v>298</v>
      </c>
      <c r="C236" s="3">
        <v>58</v>
      </c>
      <c r="D236" s="4">
        <v>18.03</v>
      </c>
      <c r="E236" s="4">
        <v>11.95</v>
      </c>
      <c r="F236" s="3"/>
      <c r="G236" s="5"/>
      <c r="H236" s="3"/>
      <c r="I236" s="5"/>
      <c r="J236" s="3"/>
      <c r="K236" s="5"/>
      <c r="L236" s="3"/>
      <c r="M236" s="5"/>
      <c r="N236" s="3"/>
      <c r="O236" s="5"/>
      <c r="P236" s="3"/>
      <c r="Q236" s="5"/>
      <c r="R236" s="3"/>
      <c r="S236" s="5"/>
      <c r="T236" s="5"/>
      <c r="U236" s="5">
        <v>0</v>
      </c>
      <c r="V236" s="5"/>
      <c r="W236" s="5" t="str">
        <f>G236+I236+K236+M236+O236+Q236+S236+T236+U236+Y236</f>
        <v>0</v>
      </c>
      <c r="X236" s="5">
        <v>6214422.76</v>
      </c>
      <c r="Y236" s="5" t="str">
        <f>W236+X236</f>
        <v>0</v>
      </c>
      <c r="Z236" s="5">
        <v>0</v>
      </c>
      <c r="AA236" s="5" t="str">
        <f>Z236*D236</f>
        <v>0</v>
      </c>
      <c r="AB236" s="5">
        <v>0</v>
      </c>
      <c r="AC236" s="5" t="str">
        <f>AA236*AB236</f>
        <v>0</v>
      </c>
      <c r="AD236" s="5" t="str">
        <f>AC236-Y236</f>
        <v>0</v>
      </c>
      <c r="AE236" s="3" t="s">
        <v>169</v>
      </c>
      <c r="AF236" s="2"/>
    </row>
    <row r="237" spans="1:32">
      <c r="A237" s="3" t="s">
        <v>289</v>
      </c>
      <c r="B237" s="3" t="s">
        <v>299</v>
      </c>
      <c r="C237" s="3">
        <v>62</v>
      </c>
      <c r="D237" s="4">
        <v>16.251</v>
      </c>
      <c r="E237" s="4">
        <v>10.115</v>
      </c>
      <c r="F237" s="3"/>
      <c r="G237" s="5"/>
      <c r="H237" s="3"/>
      <c r="I237" s="5"/>
      <c r="J237" s="3"/>
      <c r="K237" s="5"/>
      <c r="L237" s="3"/>
      <c r="M237" s="5"/>
      <c r="N237" s="3"/>
      <c r="O237" s="5"/>
      <c r="P237" s="3"/>
      <c r="Q237" s="5"/>
      <c r="R237" s="3"/>
      <c r="S237" s="5"/>
      <c r="T237" s="5"/>
      <c r="U237" s="5">
        <v>0</v>
      </c>
      <c r="V237" s="5"/>
      <c r="W237" s="5" t="str">
        <f>G237+I237+K237+M237+O237+Q237+S237+T237+U237+Y237</f>
        <v>0</v>
      </c>
      <c r="X237" s="5">
        <v>6643003.64</v>
      </c>
      <c r="Y237" s="5" t="str">
        <f>W237+X237</f>
        <v>0</v>
      </c>
      <c r="Z237" s="5">
        <v>0</v>
      </c>
      <c r="AA237" s="5" t="str">
        <f>Z237*D237</f>
        <v>0</v>
      </c>
      <c r="AB237" s="5">
        <v>0</v>
      </c>
      <c r="AC237" s="5" t="str">
        <f>AA237*AB237</f>
        <v>0</v>
      </c>
      <c r="AD237" s="5" t="str">
        <f>AC237-Y237</f>
        <v>0</v>
      </c>
      <c r="AE237" s="3" t="s">
        <v>169</v>
      </c>
      <c r="AF237" s="2"/>
    </row>
    <row r="238" spans="1:32">
      <c r="A238" s="3" t="s">
        <v>289</v>
      </c>
      <c r="B238" s="3" t="s">
        <v>300</v>
      </c>
      <c r="C238" s="3">
        <v>63</v>
      </c>
      <c r="D238" s="4">
        <v>17.433</v>
      </c>
      <c r="E238" s="4">
        <v>10.662</v>
      </c>
      <c r="F238" s="3"/>
      <c r="G238" s="5"/>
      <c r="H238" s="3"/>
      <c r="I238" s="5"/>
      <c r="J238" s="3"/>
      <c r="K238" s="5"/>
      <c r="L238" s="3"/>
      <c r="M238" s="5"/>
      <c r="N238" s="3"/>
      <c r="O238" s="5"/>
      <c r="P238" s="3"/>
      <c r="Q238" s="5"/>
      <c r="R238" s="3"/>
      <c r="S238" s="5"/>
      <c r="T238" s="5"/>
      <c r="U238" s="5">
        <v>0</v>
      </c>
      <c r="V238" s="5"/>
      <c r="W238" s="5" t="str">
        <f>G238+I238+K238+M238+O238+Q238+S238+T238+U238+Y238</f>
        <v>0</v>
      </c>
      <c r="X238" s="5">
        <v>6750148.86</v>
      </c>
      <c r="Y238" s="5" t="str">
        <f>W238+X238</f>
        <v>0</v>
      </c>
      <c r="Z238" s="5">
        <v>0</v>
      </c>
      <c r="AA238" s="5" t="str">
        <f>Z238*D238</f>
        <v>0</v>
      </c>
      <c r="AB238" s="5">
        <v>0</v>
      </c>
      <c r="AC238" s="5" t="str">
        <f>AA238*AB238</f>
        <v>0</v>
      </c>
      <c r="AD238" s="5" t="str">
        <f>AC238-Y238</f>
        <v>0</v>
      </c>
      <c r="AE238" s="3" t="s">
        <v>169</v>
      </c>
      <c r="AF238" s="2"/>
    </row>
    <row r="239" spans="1:32">
      <c r="A239" s="3" t="s">
        <v>289</v>
      </c>
      <c r="B239" s="3" t="s">
        <v>301</v>
      </c>
      <c r="C239" s="3">
        <v>303</v>
      </c>
      <c r="D239" s="4">
        <v>18.259</v>
      </c>
      <c r="E239" s="4">
        <v>2.393</v>
      </c>
      <c r="F239" s="3"/>
      <c r="G239" s="5"/>
      <c r="H239" s="3"/>
      <c r="I239" s="5"/>
      <c r="J239" s="3"/>
      <c r="K239" s="5"/>
      <c r="L239" s="3"/>
      <c r="M239" s="5"/>
      <c r="N239" s="3"/>
      <c r="O239" s="5"/>
      <c r="P239" s="3"/>
      <c r="Q239" s="5"/>
      <c r="R239" s="3"/>
      <c r="S239" s="5"/>
      <c r="T239" s="5"/>
      <c r="U239" s="5">
        <v>0</v>
      </c>
      <c r="V239" s="5"/>
      <c r="W239" s="5" t="str">
        <f>G239+I239+K239+M239+O239+Q239+S239+T239+U239+Y239</f>
        <v>0</v>
      </c>
      <c r="X239" s="5">
        <v>32465001.66</v>
      </c>
      <c r="Y239" s="5" t="str">
        <f>W239+X239</f>
        <v>0</v>
      </c>
      <c r="Z239" s="5">
        <v>0</v>
      </c>
      <c r="AA239" s="5" t="str">
        <f>Z239*D239</f>
        <v>0</v>
      </c>
      <c r="AB239" s="5">
        <v>0</v>
      </c>
      <c r="AC239" s="5" t="str">
        <f>AA239*AB239</f>
        <v>0</v>
      </c>
      <c r="AD239" s="5" t="str">
        <f>AC239-Y239</f>
        <v>0</v>
      </c>
      <c r="AE239" s="3" t="s">
        <v>169</v>
      </c>
      <c r="AF239" s="2"/>
    </row>
    <row r="240" spans="1:32">
      <c r="A240" s="3" t="s">
        <v>289</v>
      </c>
      <c r="B240" s="3" t="s">
        <v>302</v>
      </c>
      <c r="C240" s="3">
        <v>63</v>
      </c>
      <c r="D240" s="4">
        <v>18.566</v>
      </c>
      <c r="E240" s="4">
        <v>11.36</v>
      </c>
      <c r="F240" s="3"/>
      <c r="G240" s="5"/>
      <c r="H240" s="3"/>
      <c r="I240" s="5"/>
      <c r="J240" s="3"/>
      <c r="K240" s="5"/>
      <c r="L240" s="3"/>
      <c r="M240" s="5"/>
      <c r="N240" s="3"/>
      <c r="O240" s="5"/>
      <c r="P240" s="3"/>
      <c r="Q240" s="5"/>
      <c r="R240" s="3"/>
      <c r="S240" s="5"/>
      <c r="T240" s="5"/>
      <c r="U240" s="5">
        <v>0</v>
      </c>
      <c r="V240" s="5"/>
      <c r="W240" s="5" t="str">
        <f>G240+I240+K240+M240+O240+Q240+S240+T240+U240+Y240</f>
        <v>0</v>
      </c>
      <c r="X240" s="5">
        <v>6750148.86</v>
      </c>
      <c r="Y240" s="5" t="str">
        <f>W240+X240</f>
        <v>0</v>
      </c>
      <c r="Z240" s="5">
        <v>0</v>
      </c>
      <c r="AA240" s="5" t="str">
        <f>Z240*D240</f>
        <v>0</v>
      </c>
      <c r="AB240" s="5">
        <v>0</v>
      </c>
      <c r="AC240" s="5" t="str">
        <f>AA240*AB240</f>
        <v>0</v>
      </c>
      <c r="AD240" s="5" t="str">
        <f>AC240-Y240</f>
        <v>0</v>
      </c>
      <c r="AE240" s="3" t="s">
        <v>169</v>
      </c>
      <c r="AF240" s="2"/>
    </row>
    <row r="241" spans="1:32">
      <c r="A241" s="3" t="s">
        <v>289</v>
      </c>
      <c r="B241" s="3" t="s">
        <v>303</v>
      </c>
      <c r="C241" s="3">
        <v>295</v>
      </c>
      <c r="D241" s="4">
        <v>17.471</v>
      </c>
      <c r="E241" s="4">
        <v>2.35</v>
      </c>
      <c r="F241" s="3"/>
      <c r="G241" s="5"/>
      <c r="H241" s="3"/>
      <c r="I241" s="5"/>
      <c r="J241" s="3"/>
      <c r="K241" s="5"/>
      <c r="L241" s="3"/>
      <c r="M241" s="5"/>
      <c r="N241" s="3"/>
      <c r="O241" s="5"/>
      <c r="P241" s="3"/>
      <c r="Q241" s="5"/>
      <c r="R241" s="3"/>
      <c r="S241" s="5"/>
      <c r="T241" s="5"/>
      <c r="U241" s="5">
        <v>0</v>
      </c>
      <c r="V241" s="5"/>
      <c r="W241" s="5" t="str">
        <f>G241+I241+K241+M241+O241+Q241+S241+T241+U241+Y241</f>
        <v>0</v>
      </c>
      <c r="X241" s="5">
        <v>31607839.9</v>
      </c>
      <c r="Y241" s="5" t="str">
        <f>W241+X241</f>
        <v>0</v>
      </c>
      <c r="Z241" s="5">
        <v>0</v>
      </c>
      <c r="AA241" s="5" t="str">
        <f>Z241*D241</f>
        <v>0</v>
      </c>
      <c r="AB241" s="5">
        <v>0</v>
      </c>
      <c r="AC241" s="5" t="str">
        <f>AA241*AB241</f>
        <v>0</v>
      </c>
      <c r="AD241" s="5" t="str">
        <f>AC241-Y241</f>
        <v>0</v>
      </c>
      <c r="AE241" s="3" t="s">
        <v>169</v>
      </c>
      <c r="AF241" s="2"/>
    </row>
    <row r="242" spans="1:32">
      <c r="A242" s="3" t="s">
        <v>289</v>
      </c>
      <c r="B242" s="3" t="s">
        <v>304</v>
      </c>
      <c r="C242" s="3">
        <v>66</v>
      </c>
      <c r="D242" s="4">
        <v>17.695</v>
      </c>
      <c r="E242" s="4">
        <v>10.359</v>
      </c>
      <c r="F242" s="3"/>
      <c r="G242" s="5"/>
      <c r="H242" s="3"/>
      <c r="I242" s="5"/>
      <c r="J242" s="3"/>
      <c r="K242" s="5"/>
      <c r="L242" s="3"/>
      <c r="M242" s="5"/>
      <c r="N242" s="3"/>
      <c r="O242" s="5"/>
      <c r="P242" s="3"/>
      <c r="Q242" s="5"/>
      <c r="R242" s="3"/>
      <c r="S242" s="5"/>
      <c r="T242" s="5"/>
      <c r="U242" s="5">
        <v>0</v>
      </c>
      <c r="V242" s="5"/>
      <c r="W242" s="5" t="str">
        <f>G242+I242+K242+M242+O242+Q242+S242+T242+U242+Y242</f>
        <v>0</v>
      </c>
      <c r="X242" s="5">
        <v>7071584.52</v>
      </c>
      <c r="Y242" s="5" t="str">
        <f>W242+X242</f>
        <v>0</v>
      </c>
      <c r="Z242" s="5">
        <v>0</v>
      </c>
      <c r="AA242" s="5" t="str">
        <f>Z242*D242</f>
        <v>0</v>
      </c>
      <c r="AB242" s="5">
        <v>0</v>
      </c>
      <c r="AC242" s="5" t="str">
        <f>AA242*AB242</f>
        <v>0</v>
      </c>
      <c r="AD242" s="5" t="str">
        <f>AC242-Y242</f>
        <v>0</v>
      </c>
      <c r="AE242" s="3" t="s">
        <v>169</v>
      </c>
      <c r="AF242" s="2"/>
    </row>
    <row r="243" spans="1:32">
      <c r="A243" s="3" t="s">
        <v>305</v>
      </c>
      <c r="B243" s="3" t="s">
        <v>306</v>
      </c>
      <c r="C243" s="3">
        <v>357</v>
      </c>
      <c r="D243" s="4">
        <v>17.821</v>
      </c>
      <c r="E243" s="4">
        <v>1.995</v>
      </c>
      <c r="F243" s="3"/>
      <c r="G243" s="5"/>
      <c r="H243" s="3"/>
      <c r="I243" s="5"/>
      <c r="J243" s="3"/>
      <c r="K243" s="5"/>
      <c r="L243" s="3"/>
      <c r="M243" s="5"/>
      <c r="N243" s="3"/>
      <c r="O243" s="5"/>
      <c r="P243" s="3"/>
      <c r="Q243" s="5"/>
      <c r="R243" s="3"/>
      <c r="S243" s="5"/>
      <c r="T243" s="5"/>
      <c r="U243" s="5">
        <v>0</v>
      </c>
      <c r="V243" s="5"/>
      <c r="W243" s="5" t="str">
        <f>G243+I243+K243+M243+O243+Q243+S243+T243+U243+Y243</f>
        <v>0</v>
      </c>
      <c r="X243" s="5">
        <v>17789177.553</v>
      </c>
      <c r="Y243" s="5" t="str">
        <f>W243+X243</f>
        <v>0</v>
      </c>
      <c r="Z243" s="5">
        <v>0</v>
      </c>
      <c r="AA243" s="5" t="str">
        <f>Z243*D243</f>
        <v>0</v>
      </c>
      <c r="AB243" s="5">
        <v>0</v>
      </c>
      <c r="AC243" s="5" t="str">
        <f>AA243*AB243</f>
        <v>0</v>
      </c>
      <c r="AD243" s="5" t="str">
        <f>AC243-Y243</f>
        <v>0</v>
      </c>
      <c r="AE243" s="3" t="s">
        <v>169</v>
      </c>
      <c r="AF243" s="2"/>
    </row>
    <row r="244" spans="1:32">
      <c r="A244" s="3" t="s">
        <v>305</v>
      </c>
      <c r="B244" s="3" t="s">
        <v>307</v>
      </c>
      <c r="C244" s="3">
        <v>55</v>
      </c>
      <c r="D244" s="4">
        <v>18.102</v>
      </c>
      <c r="E244" s="4">
        <v>12.616</v>
      </c>
      <c r="F244" s="3"/>
      <c r="G244" s="5"/>
      <c r="H244" s="3"/>
      <c r="I244" s="5"/>
      <c r="J244" s="3"/>
      <c r="K244" s="5"/>
      <c r="L244" s="3"/>
      <c r="M244" s="5"/>
      <c r="N244" s="3"/>
      <c r="O244" s="5"/>
      <c r="P244" s="3"/>
      <c r="Q244" s="5"/>
      <c r="R244" s="3"/>
      <c r="S244" s="5"/>
      <c r="T244" s="5"/>
      <c r="U244" s="5">
        <v>0</v>
      </c>
      <c r="V244" s="5"/>
      <c r="W244" s="5" t="str">
        <f>G244+I244+K244+M244+O244+Q244+S244+T244+U244+Y244</f>
        <v>0</v>
      </c>
      <c r="X244" s="5">
        <v>15563339.66</v>
      </c>
      <c r="Y244" s="5" t="str">
        <f>W244+X244</f>
        <v>0</v>
      </c>
      <c r="Z244" s="5">
        <v>0</v>
      </c>
      <c r="AA244" s="5" t="str">
        <f>Z244*D244</f>
        <v>0</v>
      </c>
      <c r="AB244" s="5">
        <v>0</v>
      </c>
      <c r="AC244" s="5" t="str">
        <f>AA244*AB244</f>
        <v>0</v>
      </c>
      <c r="AD244" s="5" t="str">
        <f>AC244-Y244</f>
        <v>0</v>
      </c>
      <c r="AE244" s="3" t="s">
        <v>169</v>
      </c>
      <c r="AF244" s="2"/>
    </row>
    <row r="245" spans="1:32">
      <c r="A245" s="3" t="s">
        <v>305</v>
      </c>
      <c r="B245" s="3" t="s">
        <v>308</v>
      </c>
      <c r="C245" s="3">
        <v>56</v>
      </c>
      <c r="D245" s="4">
        <v>17.175</v>
      </c>
      <c r="E245" s="4">
        <v>11.787</v>
      </c>
      <c r="F245" s="3"/>
      <c r="G245" s="5"/>
      <c r="H245" s="3"/>
      <c r="I245" s="5"/>
      <c r="J245" s="3"/>
      <c r="K245" s="5"/>
      <c r="L245" s="3"/>
      <c r="M245" s="5"/>
      <c r="N245" s="3"/>
      <c r="O245" s="5"/>
      <c r="P245" s="3"/>
      <c r="Q245" s="5"/>
      <c r="R245" s="3"/>
      <c r="S245" s="5"/>
      <c r="T245" s="5"/>
      <c r="U245" s="5">
        <v>0</v>
      </c>
      <c r="V245" s="5"/>
      <c r="W245" s="5" t="str">
        <f>G245+I245+K245+M245+O245+Q245+S245+T245+U245+Y245</f>
        <v>0</v>
      </c>
      <c r="X245" s="5">
        <v>15846309.472</v>
      </c>
      <c r="Y245" s="5" t="str">
        <f>W245+X245</f>
        <v>0</v>
      </c>
      <c r="Z245" s="5">
        <v>0</v>
      </c>
      <c r="AA245" s="5" t="str">
        <f>Z245*D245</f>
        <v>0</v>
      </c>
      <c r="AB245" s="5">
        <v>0</v>
      </c>
      <c r="AC245" s="5" t="str">
        <f>AA245*AB245</f>
        <v>0</v>
      </c>
      <c r="AD245" s="5" t="str">
        <f>AC245-Y245</f>
        <v>0</v>
      </c>
      <c r="AE245" s="3" t="s">
        <v>169</v>
      </c>
      <c r="AF245" s="2"/>
    </row>
    <row r="246" spans="1:32">
      <c r="A246" s="3" t="s">
        <v>305</v>
      </c>
      <c r="B246" s="3" t="s">
        <v>309</v>
      </c>
      <c r="C246" s="3">
        <v>77</v>
      </c>
      <c r="D246" s="4">
        <v>15.799</v>
      </c>
      <c r="E246" s="4">
        <v>7.999</v>
      </c>
      <c r="F246" s="3"/>
      <c r="G246" s="5"/>
      <c r="H246" s="3"/>
      <c r="I246" s="5"/>
      <c r="J246" s="3"/>
      <c r="K246" s="5"/>
      <c r="L246" s="3"/>
      <c r="M246" s="5"/>
      <c r="N246" s="3"/>
      <c r="O246" s="5"/>
      <c r="P246" s="3"/>
      <c r="Q246" s="5"/>
      <c r="R246" s="3"/>
      <c r="S246" s="5"/>
      <c r="T246" s="5"/>
      <c r="U246" s="5">
        <v>0</v>
      </c>
      <c r="V246" s="5"/>
      <c r="W246" s="5" t="str">
        <f>G246+I246+K246+M246+O246+Q246+S246+T246+U246+Y246</f>
        <v>0</v>
      </c>
      <c r="X246" s="5">
        <v>21788675.524</v>
      </c>
      <c r="Y246" s="5" t="str">
        <f>W246+X246</f>
        <v>0</v>
      </c>
      <c r="Z246" s="5">
        <v>0</v>
      </c>
      <c r="AA246" s="5" t="str">
        <f>Z246*D246</f>
        <v>0</v>
      </c>
      <c r="AB246" s="5">
        <v>0</v>
      </c>
      <c r="AC246" s="5" t="str">
        <f>AA246*AB246</f>
        <v>0</v>
      </c>
      <c r="AD246" s="5" t="str">
        <f>AC246-Y246</f>
        <v>0</v>
      </c>
      <c r="AE246" s="3" t="s">
        <v>169</v>
      </c>
      <c r="AF246" s="2"/>
    </row>
    <row r="247" spans="1:32">
      <c r="A247" s="3" t="s">
        <v>310</v>
      </c>
      <c r="B247" s="3" t="s">
        <v>311</v>
      </c>
      <c r="C247" s="3">
        <v>85</v>
      </c>
      <c r="D247" s="4">
        <v>17.941</v>
      </c>
      <c r="E247" s="4">
        <v>8.123</v>
      </c>
      <c r="F247" s="3"/>
      <c r="G247" s="5"/>
      <c r="H247" s="3"/>
      <c r="I247" s="5"/>
      <c r="J247" s="3"/>
      <c r="K247" s="5"/>
      <c r="L247" s="3"/>
      <c r="M247" s="5"/>
      <c r="N247" s="3"/>
      <c r="O247" s="5"/>
      <c r="P247" s="3"/>
      <c r="Q247" s="5"/>
      <c r="R247" s="3"/>
      <c r="S247" s="5"/>
      <c r="T247" s="5"/>
      <c r="U247" s="5">
        <v>0</v>
      </c>
      <c r="V247" s="5"/>
      <c r="W247" s="5" t="str">
        <f>G247+I247+K247+M247+O247+Q247+S247+T247+U247+Y247</f>
        <v>0</v>
      </c>
      <c r="X247" s="5">
        <v>8994126.675</v>
      </c>
      <c r="Y247" s="5" t="str">
        <f>W247+X247</f>
        <v>0</v>
      </c>
      <c r="Z247" s="5">
        <v>0</v>
      </c>
      <c r="AA247" s="5" t="str">
        <f>Z247*D247</f>
        <v>0</v>
      </c>
      <c r="AB247" s="5">
        <v>0</v>
      </c>
      <c r="AC247" s="5" t="str">
        <f>AA247*AB247</f>
        <v>0</v>
      </c>
      <c r="AD247" s="5" t="str">
        <f>AC247-Y247</f>
        <v>0</v>
      </c>
      <c r="AE247" s="3" t="s">
        <v>169</v>
      </c>
      <c r="AF247" s="2"/>
    </row>
    <row r="248" spans="1:32">
      <c r="A248" s="3" t="s">
        <v>310</v>
      </c>
      <c r="B248" s="3" t="s">
        <v>312</v>
      </c>
      <c r="C248" s="3">
        <v>43</v>
      </c>
      <c r="D248" s="4">
        <v>18.87</v>
      </c>
      <c r="E248" s="4">
        <v>16.732</v>
      </c>
      <c r="F248" s="3"/>
      <c r="G248" s="5"/>
      <c r="H248" s="3"/>
      <c r="I248" s="5"/>
      <c r="J248" s="3"/>
      <c r="K248" s="5"/>
      <c r="L248" s="3"/>
      <c r="M248" s="5"/>
      <c r="N248" s="3"/>
      <c r="O248" s="5"/>
      <c r="P248" s="3"/>
      <c r="Q248" s="5"/>
      <c r="R248" s="3"/>
      <c r="S248" s="5"/>
      <c r="T248" s="5"/>
      <c r="U248" s="5">
        <v>0</v>
      </c>
      <c r="V248" s="5"/>
      <c r="W248" s="5" t="str">
        <f>G248+I248+K248+M248+O248+Q248+S248+T248+U248+Y248</f>
        <v>0</v>
      </c>
      <c r="X248" s="5">
        <v>4549969.965</v>
      </c>
      <c r="Y248" s="5" t="str">
        <f>W248+X248</f>
        <v>0</v>
      </c>
      <c r="Z248" s="5">
        <v>0</v>
      </c>
      <c r="AA248" s="5" t="str">
        <f>Z248*D248</f>
        <v>0</v>
      </c>
      <c r="AB248" s="5">
        <v>0</v>
      </c>
      <c r="AC248" s="5" t="str">
        <f>AA248*AB248</f>
        <v>0</v>
      </c>
      <c r="AD248" s="5" t="str">
        <f>AC248-Y248</f>
        <v>0</v>
      </c>
      <c r="AE248" s="3" t="s">
        <v>169</v>
      </c>
      <c r="AF248" s="2"/>
    </row>
    <row r="249" spans="1:32">
      <c r="A249" s="3" t="s">
        <v>310</v>
      </c>
      <c r="B249" s="3" t="s">
        <v>313</v>
      </c>
      <c r="C249" s="3">
        <v>415</v>
      </c>
      <c r="D249" s="4">
        <v>17.307</v>
      </c>
      <c r="E249" s="4">
        <v>1.684</v>
      </c>
      <c r="F249" s="3"/>
      <c r="G249" s="5"/>
      <c r="H249" s="3"/>
      <c r="I249" s="5"/>
      <c r="J249" s="3"/>
      <c r="K249" s="5"/>
      <c r="L249" s="3"/>
      <c r="M249" s="5"/>
      <c r="N249" s="3"/>
      <c r="O249" s="5"/>
      <c r="P249" s="3"/>
      <c r="Q249" s="5"/>
      <c r="R249" s="3"/>
      <c r="S249" s="5"/>
      <c r="T249" s="5"/>
      <c r="U249" s="5">
        <v>0</v>
      </c>
      <c r="V249" s="5"/>
      <c r="W249" s="5" t="str">
        <f>G249+I249+K249+M249+O249+Q249+S249+T249+U249+Y249</f>
        <v>0</v>
      </c>
      <c r="X249" s="5">
        <v>43912500.825</v>
      </c>
      <c r="Y249" s="5" t="str">
        <f>W249+X249</f>
        <v>0</v>
      </c>
      <c r="Z249" s="5">
        <v>0</v>
      </c>
      <c r="AA249" s="5" t="str">
        <f>Z249*D249</f>
        <v>0</v>
      </c>
      <c r="AB249" s="5">
        <v>0</v>
      </c>
      <c r="AC249" s="5" t="str">
        <f>AA249*AB249</f>
        <v>0</v>
      </c>
      <c r="AD249" s="5" t="str">
        <f>AC249-Y249</f>
        <v>0</v>
      </c>
      <c r="AE249" s="3" t="s">
        <v>169</v>
      </c>
      <c r="AF249" s="2"/>
    </row>
    <row r="250" spans="1:32">
      <c r="A250" s="3" t="s">
        <v>310</v>
      </c>
      <c r="B250" s="3" t="s">
        <v>314</v>
      </c>
      <c r="C250" s="3">
        <v>368</v>
      </c>
      <c r="D250" s="4">
        <v>17.37</v>
      </c>
      <c r="E250" s="4">
        <v>1.894</v>
      </c>
      <c r="F250" s="3"/>
      <c r="G250" s="5"/>
      <c r="H250" s="3"/>
      <c r="I250" s="5"/>
      <c r="J250" s="3"/>
      <c r="K250" s="5"/>
      <c r="L250" s="3"/>
      <c r="M250" s="5"/>
      <c r="N250" s="3"/>
      <c r="O250" s="5"/>
      <c r="P250" s="3"/>
      <c r="Q250" s="5"/>
      <c r="R250" s="3"/>
      <c r="S250" s="5"/>
      <c r="T250" s="5"/>
      <c r="U250" s="5">
        <v>0</v>
      </c>
      <c r="V250" s="5"/>
      <c r="W250" s="5" t="str">
        <f>G250+I250+K250+M250+O250+Q250+S250+T250+U250+Y250</f>
        <v>0</v>
      </c>
      <c r="X250" s="5">
        <v>38939277.84</v>
      </c>
      <c r="Y250" s="5" t="str">
        <f>W250+X250</f>
        <v>0</v>
      </c>
      <c r="Z250" s="5">
        <v>0</v>
      </c>
      <c r="AA250" s="5" t="str">
        <f>Z250*D250</f>
        <v>0</v>
      </c>
      <c r="AB250" s="5">
        <v>0</v>
      </c>
      <c r="AC250" s="5" t="str">
        <f>AA250*AB250</f>
        <v>0</v>
      </c>
      <c r="AD250" s="5" t="str">
        <f>AC250-Y250</f>
        <v>0</v>
      </c>
      <c r="AE250" s="3" t="s">
        <v>169</v>
      </c>
      <c r="AF250" s="2"/>
    </row>
    <row r="251" spans="1:32">
      <c r="A251" s="3" t="s">
        <v>310</v>
      </c>
      <c r="B251" s="3" t="s">
        <v>315</v>
      </c>
      <c r="C251" s="3">
        <v>47</v>
      </c>
      <c r="D251" s="4">
        <v>18.3</v>
      </c>
      <c r="E251" s="4">
        <v>14.874</v>
      </c>
      <c r="F251" s="3"/>
      <c r="G251" s="5"/>
      <c r="H251" s="3"/>
      <c r="I251" s="5"/>
      <c r="J251" s="3"/>
      <c r="K251" s="5"/>
      <c r="L251" s="3"/>
      <c r="M251" s="5"/>
      <c r="N251" s="3"/>
      <c r="O251" s="5"/>
      <c r="P251" s="3"/>
      <c r="Q251" s="5"/>
      <c r="R251" s="3"/>
      <c r="S251" s="5"/>
      <c r="T251" s="5"/>
      <c r="U251" s="5">
        <v>0</v>
      </c>
      <c r="V251" s="5"/>
      <c r="W251" s="5" t="str">
        <f>G251+I251+K251+M251+O251+Q251+S251+T251+U251+Y251</f>
        <v>0</v>
      </c>
      <c r="X251" s="5">
        <v>4973222.985</v>
      </c>
      <c r="Y251" s="5" t="str">
        <f>W251+X251</f>
        <v>0</v>
      </c>
      <c r="Z251" s="5">
        <v>0</v>
      </c>
      <c r="AA251" s="5" t="str">
        <f>Z251*D251</f>
        <v>0</v>
      </c>
      <c r="AB251" s="5">
        <v>0</v>
      </c>
      <c r="AC251" s="5" t="str">
        <f>AA251*AB251</f>
        <v>0</v>
      </c>
      <c r="AD251" s="5" t="str">
        <f>AC251-Y251</f>
        <v>0</v>
      </c>
      <c r="AE251" s="3" t="s">
        <v>169</v>
      </c>
      <c r="AF251" s="2"/>
    </row>
    <row r="252" spans="1:32">
      <c r="A252" s="3" t="s">
        <v>310</v>
      </c>
      <c r="B252" s="3" t="s">
        <v>316</v>
      </c>
      <c r="C252" s="3">
        <v>57</v>
      </c>
      <c r="D252" s="4">
        <v>17.353</v>
      </c>
      <c r="E252" s="4">
        <v>11.701</v>
      </c>
      <c r="F252" s="3"/>
      <c r="G252" s="5"/>
      <c r="H252" s="3"/>
      <c r="I252" s="5"/>
      <c r="J252" s="3"/>
      <c r="K252" s="5"/>
      <c r="L252" s="3"/>
      <c r="M252" s="5"/>
      <c r="N252" s="3"/>
      <c r="O252" s="5"/>
      <c r="P252" s="3"/>
      <c r="Q252" s="5"/>
      <c r="R252" s="3"/>
      <c r="S252" s="5"/>
      <c r="T252" s="5"/>
      <c r="U252" s="5">
        <v>0</v>
      </c>
      <c r="V252" s="5"/>
      <c r="W252" s="5" t="str">
        <f>G252+I252+K252+M252+O252+Q252+S252+T252+U252+Y252</f>
        <v>0</v>
      </c>
      <c r="X252" s="5">
        <v>6031355.535</v>
      </c>
      <c r="Y252" s="5" t="str">
        <f>W252+X252</f>
        <v>0</v>
      </c>
      <c r="Z252" s="5">
        <v>0</v>
      </c>
      <c r="AA252" s="5" t="str">
        <f>Z252*D252</f>
        <v>0</v>
      </c>
      <c r="AB252" s="5">
        <v>0</v>
      </c>
      <c r="AC252" s="5" t="str">
        <f>AA252*AB252</f>
        <v>0</v>
      </c>
      <c r="AD252" s="5" t="str">
        <f>AC252-Y252</f>
        <v>0</v>
      </c>
      <c r="AE252" s="3" t="s">
        <v>169</v>
      </c>
      <c r="AF252" s="2"/>
    </row>
    <row r="253" spans="1:32">
      <c r="A253" s="3" t="s">
        <v>310</v>
      </c>
      <c r="B253" s="3" t="s">
        <v>317</v>
      </c>
      <c r="C253" s="3">
        <v>107</v>
      </c>
      <c r="D253" s="4">
        <v>17.636</v>
      </c>
      <c r="E253" s="4">
        <v>6.427</v>
      </c>
      <c r="F253" s="3"/>
      <c r="G253" s="5"/>
      <c r="H253" s="3"/>
      <c r="I253" s="5"/>
      <c r="J253" s="3"/>
      <c r="K253" s="5"/>
      <c r="L253" s="3"/>
      <c r="M253" s="5"/>
      <c r="N253" s="3"/>
      <c r="O253" s="5"/>
      <c r="P253" s="3"/>
      <c r="Q253" s="5"/>
      <c r="R253" s="3"/>
      <c r="S253" s="5"/>
      <c r="T253" s="5"/>
      <c r="U253" s="5">
        <v>0</v>
      </c>
      <c r="V253" s="5"/>
      <c r="W253" s="5" t="str">
        <f>G253+I253+K253+M253+O253+Q253+S253+T253+U253+Y253</f>
        <v>0</v>
      </c>
      <c r="X253" s="5">
        <v>11322018.285</v>
      </c>
      <c r="Y253" s="5" t="str">
        <f>W253+X253</f>
        <v>0</v>
      </c>
      <c r="Z253" s="5">
        <v>0</v>
      </c>
      <c r="AA253" s="5" t="str">
        <f>Z253*D253</f>
        <v>0</v>
      </c>
      <c r="AB253" s="5">
        <v>0</v>
      </c>
      <c r="AC253" s="5" t="str">
        <f>AA253*AB253</f>
        <v>0</v>
      </c>
      <c r="AD253" s="5" t="str">
        <f>AC253-Y253</f>
        <v>0</v>
      </c>
      <c r="AE253" s="3" t="s">
        <v>169</v>
      </c>
      <c r="AF253" s="2"/>
    </row>
    <row r="254" spans="1:32">
      <c r="A254" s="3" t="s">
        <v>310</v>
      </c>
      <c r="B254" s="3" t="s">
        <v>318</v>
      </c>
      <c r="C254" s="3">
        <v>329</v>
      </c>
      <c r="D254" s="4">
        <v>17.47</v>
      </c>
      <c r="E254" s="4">
        <v>2.118</v>
      </c>
      <c r="F254" s="3"/>
      <c r="G254" s="5"/>
      <c r="H254" s="3"/>
      <c r="I254" s="5"/>
      <c r="J254" s="3"/>
      <c r="K254" s="5"/>
      <c r="L254" s="3"/>
      <c r="M254" s="5"/>
      <c r="N254" s="3"/>
      <c r="O254" s="5"/>
      <c r="P254" s="3"/>
      <c r="Q254" s="5"/>
      <c r="R254" s="3"/>
      <c r="S254" s="5"/>
      <c r="T254" s="5"/>
      <c r="U254" s="5">
        <v>0</v>
      </c>
      <c r="V254" s="5"/>
      <c r="W254" s="5" t="str">
        <f>G254+I254+K254+M254+O254+Q254+S254+T254+U254+Y254</f>
        <v>0</v>
      </c>
      <c r="X254" s="5">
        <v>34812560.895</v>
      </c>
      <c r="Y254" s="5" t="str">
        <f>W254+X254</f>
        <v>0</v>
      </c>
      <c r="Z254" s="5">
        <v>0</v>
      </c>
      <c r="AA254" s="5" t="str">
        <f>Z254*D254</f>
        <v>0</v>
      </c>
      <c r="AB254" s="5">
        <v>0</v>
      </c>
      <c r="AC254" s="5" t="str">
        <f>AA254*AB254</f>
        <v>0</v>
      </c>
      <c r="AD254" s="5" t="str">
        <f>AC254-Y254</f>
        <v>0</v>
      </c>
      <c r="AE254" s="3" t="s">
        <v>169</v>
      </c>
      <c r="AF254" s="2"/>
    </row>
    <row r="255" spans="1:32">
      <c r="A255" s="3" t="s">
        <v>310</v>
      </c>
      <c r="B255" s="3" t="s">
        <v>319</v>
      </c>
      <c r="C255" s="3">
        <v>69</v>
      </c>
      <c r="D255" s="4">
        <v>9.611</v>
      </c>
      <c r="E255" s="4">
        <v>5.455</v>
      </c>
      <c r="F255" s="3"/>
      <c r="G255" s="5"/>
      <c r="H255" s="3"/>
      <c r="I255" s="5"/>
      <c r="J255" s="3"/>
      <c r="K255" s="5"/>
      <c r="L255" s="3"/>
      <c r="M255" s="5"/>
      <c r="N255" s="3"/>
      <c r="O255" s="5"/>
      <c r="P255" s="3"/>
      <c r="Q255" s="5"/>
      <c r="R255" s="3"/>
      <c r="S255" s="5"/>
      <c r="T255" s="5"/>
      <c r="U255" s="5">
        <v>0</v>
      </c>
      <c r="V255" s="5"/>
      <c r="W255" s="5" t="str">
        <f>G255+I255+K255+M255+O255+Q255+S255+T255+U255+Y255</f>
        <v>0</v>
      </c>
      <c r="X255" s="5">
        <v>7301114.595</v>
      </c>
      <c r="Y255" s="5" t="str">
        <f>W255+X255</f>
        <v>0</v>
      </c>
      <c r="Z255" s="5">
        <v>0</v>
      </c>
      <c r="AA255" s="5" t="str">
        <f>Z255*D255</f>
        <v>0</v>
      </c>
      <c r="AB255" s="5">
        <v>0</v>
      </c>
      <c r="AC255" s="5" t="str">
        <f>AA255*AB255</f>
        <v>0</v>
      </c>
      <c r="AD255" s="5" t="str">
        <f>AC255-Y255</f>
        <v>0</v>
      </c>
      <c r="AE255" s="3" t="s">
        <v>169</v>
      </c>
      <c r="AF255" s="2"/>
    </row>
    <row r="256" spans="1:32">
      <c r="A256" s="3" t="s">
        <v>310</v>
      </c>
      <c r="B256" s="3" t="s">
        <v>320</v>
      </c>
      <c r="C256" s="3">
        <v>59</v>
      </c>
      <c r="D256" s="4">
        <v>17.545</v>
      </c>
      <c r="E256" s="4">
        <v>11.434</v>
      </c>
      <c r="F256" s="3"/>
      <c r="G256" s="5"/>
      <c r="H256" s="3"/>
      <c r="I256" s="5"/>
      <c r="J256" s="3"/>
      <c r="K256" s="5"/>
      <c r="L256" s="3"/>
      <c r="M256" s="5"/>
      <c r="N256" s="3"/>
      <c r="O256" s="5"/>
      <c r="P256" s="3"/>
      <c r="Q256" s="5"/>
      <c r="R256" s="3"/>
      <c r="S256" s="5"/>
      <c r="T256" s="5"/>
      <c r="U256" s="5">
        <v>0</v>
      </c>
      <c r="V256" s="5"/>
      <c r="W256" s="5" t="str">
        <f>G256+I256+K256+M256+O256+Q256+S256+T256+U256+Y256</f>
        <v>0</v>
      </c>
      <c r="X256" s="5">
        <v>6242982.045</v>
      </c>
      <c r="Y256" s="5" t="str">
        <f>W256+X256</f>
        <v>0</v>
      </c>
      <c r="Z256" s="5">
        <v>0</v>
      </c>
      <c r="AA256" s="5" t="str">
        <f>Z256*D256</f>
        <v>0</v>
      </c>
      <c r="AB256" s="5">
        <v>0</v>
      </c>
      <c r="AC256" s="5" t="str">
        <f>AA256*AB256</f>
        <v>0</v>
      </c>
      <c r="AD256" s="5" t="str">
        <f>AC256-Y256</f>
        <v>0</v>
      </c>
      <c r="AE256" s="3" t="s">
        <v>169</v>
      </c>
      <c r="AF256" s="2"/>
    </row>
    <row r="257" spans="1:32">
      <c r="A257" s="3" t="s">
        <v>310</v>
      </c>
      <c r="B257" s="3" t="s">
        <v>321</v>
      </c>
      <c r="C257" s="3">
        <v>193</v>
      </c>
      <c r="D257" s="4">
        <v>7.993</v>
      </c>
      <c r="E257" s="4">
        <v>1.674</v>
      </c>
      <c r="F257" s="3"/>
      <c r="G257" s="5"/>
      <c r="H257" s="3"/>
      <c r="I257" s="5"/>
      <c r="J257" s="3"/>
      <c r="K257" s="5"/>
      <c r="L257" s="3"/>
      <c r="M257" s="5"/>
      <c r="N257" s="3"/>
      <c r="O257" s="5"/>
      <c r="P257" s="3"/>
      <c r="Q257" s="5"/>
      <c r="R257" s="3"/>
      <c r="S257" s="5"/>
      <c r="T257" s="5"/>
      <c r="U257" s="5">
        <v>0</v>
      </c>
      <c r="V257" s="5"/>
      <c r="W257" s="5" t="str">
        <f>G257+I257+K257+M257+O257+Q257+S257+T257+U257+Y257</f>
        <v>0</v>
      </c>
      <c r="X257" s="5">
        <v>20421958.215</v>
      </c>
      <c r="Y257" s="5" t="str">
        <f>W257+X257</f>
        <v>0</v>
      </c>
      <c r="Z257" s="5">
        <v>0</v>
      </c>
      <c r="AA257" s="5" t="str">
        <f>Z257*D257</f>
        <v>0</v>
      </c>
      <c r="AB257" s="5">
        <v>0</v>
      </c>
      <c r="AC257" s="5" t="str">
        <f>AA257*AB257</f>
        <v>0</v>
      </c>
      <c r="AD257" s="5" t="str">
        <f>AC257-Y257</f>
        <v>0</v>
      </c>
      <c r="AE257" s="3" t="s">
        <v>169</v>
      </c>
      <c r="AF257" s="2"/>
    </row>
    <row r="258" spans="1:32">
      <c r="A258" s="3" t="s">
        <v>322</v>
      </c>
      <c r="B258" s="3" t="s">
        <v>323</v>
      </c>
      <c r="C258" s="3">
        <v>366</v>
      </c>
      <c r="D258" s="4">
        <v>17.234</v>
      </c>
      <c r="E258" s="4">
        <v>1.888</v>
      </c>
      <c r="F258" s="3"/>
      <c r="G258" s="5"/>
      <c r="H258" s="3"/>
      <c r="I258" s="5"/>
      <c r="J258" s="3"/>
      <c r="K258" s="5"/>
      <c r="L258" s="3"/>
      <c r="M258" s="5"/>
      <c r="N258" s="3"/>
      <c r="O258" s="5"/>
      <c r="P258" s="3"/>
      <c r="Q258" s="5"/>
      <c r="R258" s="3"/>
      <c r="S258" s="5"/>
      <c r="T258" s="5"/>
      <c r="U258" s="5">
        <v>0</v>
      </c>
      <c r="V258" s="5"/>
      <c r="W258" s="5" t="str">
        <f>G258+I258+K258+M258+O258+Q258+S258+T258+U258+Y258</f>
        <v>0</v>
      </c>
      <c r="X258" s="5">
        <v>11723559.744</v>
      </c>
      <c r="Y258" s="5" t="str">
        <f>W258+X258</f>
        <v>0</v>
      </c>
      <c r="Z258" s="5">
        <v>0</v>
      </c>
      <c r="AA258" s="5" t="str">
        <f>Z258*D258</f>
        <v>0</v>
      </c>
      <c r="AB258" s="5">
        <v>0</v>
      </c>
      <c r="AC258" s="5" t="str">
        <f>AA258*AB258</f>
        <v>0</v>
      </c>
      <c r="AD258" s="5" t="str">
        <f>AC258-Y258</f>
        <v>0</v>
      </c>
      <c r="AE258" s="3" t="s">
        <v>169</v>
      </c>
      <c r="AF258" s="2"/>
    </row>
    <row r="259" spans="1:32">
      <c r="A259" s="3" t="s">
        <v>322</v>
      </c>
      <c r="B259" s="3" t="s">
        <v>324</v>
      </c>
      <c r="C259" s="3">
        <v>331</v>
      </c>
      <c r="D259" s="4">
        <v>17.514</v>
      </c>
      <c r="E259" s="4">
        <v>2.113</v>
      </c>
      <c r="F259" s="3"/>
      <c r="G259" s="5"/>
      <c r="H259" s="3"/>
      <c r="I259" s="5"/>
      <c r="J259" s="3"/>
      <c r="K259" s="5"/>
      <c r="L259" s="3"/>
      <c r="M259" s="5"/>
      <c r="N259" s="3"/>
      <c r="O259" s="5"/>
      <c r="P259" s="3"/>
      <c r="Q259" s="5"/>
      <c r="R259" s="3"/>
      <c r="S259" s="5"/>
      <c r="T259" s="5"/>
      <c r="U259" s="5">
        <v>0</v>
      </c>
      <c r="V259" s="5"/>
      <c r="W259" s="5" t="str">
        <f>G259+I259+K259+M259+O259+Q259+S259+T259+U259+Y259</f>
        <v>0</v>
      </c>
      <c r="X259" s="5">
        <v>10602454.304</v>
      </c>
      <c r="Y259" s="5" t="str">
        <f>W259+X259</f>
        <v>0</v>
      </c>
      <c r="Z259" s="5">
        <v>0</v>
      </c>
      <c r="AA259" s="5" t="str">
        <f>Z259*D259</f>
        <v>0</v>
      </c>
      <c r="AB259" s="5">
        <v>0</v>
      </c>
      <c r="AC259" s="5" t="str">
        <f>AA259*AB259</f>
        <v>0</v>
      </c>
      <c r="AD259" s="5" t="str">
        <f>AC259-Y259</f>
        <v>0</v>
      </c>
      <c r="AE259" s="3" t="s">
        <v>169</v>
      </c>
      <c r="AF259" s="2"/>
    </row>
    <row r="260" spans="1:32">
      <c r="A260" s="3" t="s">
        <v>322</v>
      </c>
      <c r="B260" s="3" t="s">
        <v>325</v>
      </c>
      <c r="C260" s="3">
        <v>374</v>
      </c>
      <c r="D260" s="4">
        <v>17.557</v>
      </c>
      <c r="E260" s="4">
        <v>1.883</v>
      </c>
      <c r="F260" s="3"/>
      <c r="G260" s="5"/>
      <c r="H260" s="3"/>
      <c r="I260" s="5"/>
      <c r="J260" s="3"/>
      <c r="K260" s="5"/>
      <c r="L260" s="3"/>
      <c r="M260" s="5"/>
      <c r="N260" s="3"/>
      <c r="O260" s="5"/>
      <c r="P260" s="3"/>
      <c r="Q260" s="5"/>
      <c r="R260" s="3"/>
      <c r="S260" s="5"/>
      <c r="T260" s="5"/>
      <c r="U260" s="5">
        <v>0</v>
      </c>
      <c r="V260" s="5"/>
      <c r="W260" s="5" t="str">
        <f>G260+I260+K260+M260+O260+Q260+S260+T260+U260+Y260</f>
        <v>0</v>
      </c>
      <c r="X260" s="5">
        <v>11979812.416</v>
      </c>
      <c r="Y260" s="5" t="str">
        <f>W260+X260</f>
        <v>0</v>
      </c>
      <c r="Z260" s="5">
        <v>0</v>
      </c>
      <c r="AA260" s="5" t="str">
        <f>Z260*D260</f>
        <v>0</v>
      </c>
      <c r="AB260" s="5">
        <v>0</v>
      </c>
      <c r="AC260" s="5" t="str">
        <f>AA260*AB260</f>
        <v>0</v>
      </c>
      <c r="AD260" s="5" t="str">
        <f>AC260-Y260</f>
        <v>0</v>
      </c>
      <c r="AE260" s="3" t="s">
        <v>169</v>
      </c>
      <c r="AF260" s="2"/>
    </row>
    <row r="261" spans="1:32">
      <c r="A261" s="3" t="s">
        <v>322</v>
      </c>
      <c r="B261" s="3" t="s">
        <v>326</v>
      </c>
      <c r="C261" s="3">
        <v>272</v>
      </c>
      <c r="D261" s="4">
        <v>17.559</v>
      </c>
      <c r="E261" s="4">
        <v>2.552</v>
      </c>
      <c r="F261" s="3"/>
      <c r="G261" s="5"/>
      <c r="H261" s="3"/>
      <c r="I261" s="5"/>
      <c r="J261" s="3"/>
      <c r="K261" s="5"/>
      <c r="L261" s="3"/>
      <c r="M261" s="5"/>
      <c r="N261" s="3"/>
      <c r="O261" s="5"/>
      <c r="P261" s="3"/>
      <c r="Q261" s="5"/>
      <c r="R261" s="3"/>
      <c r="S261" s="5"/>
      <c r="T261" s="5"/>
      <c r="U261" s="5">
        <v>0</v>
      </c>
      <c r="V261" s="5"/>
      <c r="W261" s="5" t="str">
        <f>G261+I261+K261+M261+O261+Q261+S261+T261+U261+Y261</f>
        <v>0</v>
      </c>
      <c r="X261" s="5">
        <v>8712590.848</v>
      </c>
      <c r="Y261" s="5" t="str">
        <f>W261+X261</f>
        <v>0</v>
      </c>
      <c r="Z261" s="5">
        <v>0</v>
      </c>
      <c r="AA261" s="5" t="str">
        <f>Z261*D261</f>
        <v>0</v>
      </c>
      <c r="AB261" s="5">
        <v>0</v>
      </c>
      <c r="AC261" s="5" t="str">
        <f>AA261*AB261</f>
        <v>0</v>
      </c>
      <c r="AD261" s="5" t="str">
        <f>AC261-Y261</f>
        <v>0</v>
      </c>
      <c r="AE261" s="3" t="s">
        <v>169</v>
      </c>
      <c r="AF261" s="2"/>
    </row>
    <row r="262" spans="1:32">
      <c r="A262" s="3" t="s">
        <v>322</v>
      </c>
      <c r="B262" s="3" t="s">
        <v>327</v>
      </c>
      <c r="C262" s="3">
        <v>70</v>
      </c>
      <c r="D262" s="4">
        <v>3.788</v>
      </c>
      <c r="E262" s="4">
        <v>2.156</v>
      </c>
      <c r="F262" s="3"/>
      <c r="G262" s="5"/>
      <c r="H262" s="3"/>
      <c r="I262" s="5"/>
      <c r="J262" s="3"/>
      <c r="K262" s="5"/>
      <c r="L262" s="3"/>
      <c r="M262" s="5"/>
      <c r="N262" s="3"/>
      <c r="O262" s="5"/>
      <c r="P262" s="3"/>
      <c r="Q262" s="5"/>
      <c r="R262" s="3"/>
      <c r="S262" s="5"/>
      <c r="T262" s="5"/>
      <c r="U262" s="5">
        <v>0</v>
      </c>
      <c r="V262" s="5"/>
      <c r="W262" s="5" t="str">
        <f>G262+I262+K262+M262+O262+Q262+S262+T262+U262+Y262</f>
        <v>0</v>
      </c>
      <c r="X262" s="5">
        <v>2242210.88</v>
      </c>
      <c r="Y262" s="5" t="str">
        <f>W262+X262</f>
        <v>0</v>
      </c>
      <c r="Z262" s="5">
        <v>0</v>
      </c>
      <c r="AA262" s="5" t="str">
        <f>Z262*D262</f>
        <v>0</v>
      </c>
      <c r="AB262" s="5">
        <v>0</v>
      </c>
      <c r="AC262" s="5" t="str">
        <f>AA262*AB262</f>
        <v>0</v>
      </c>
      <c r="AD262" s="5" t="str">
        <f>AC262-Y262</f>
        <v>0</v>
      </c>
      <c r="AE262" s="3" t="s">
        <v>169</v>
      </c>
      <c r="AF262" s="2"/>
    </row>
    <row r="263" spans="1:32">
      <c r="A263" s="3" t="s">
        <v>322</v>
      </c>
      <c r="B263" s="3" t="s">
        <v>328</v>
      </c>
      <c r="C263" s="3">
        <v>60</v>
      </c>
      <c r="D263" s="4">
        <v>14.157</v>
      </c>
      <c r="E263" s="4">
        <v>9.131</v>
      </c>
      <c r="F263" s="3"/>
      <c r="G263" s="5"/>
      <c r="H263" s="3"/>
      <c r="I263" s="5"/>
      <c r="J263" s="3"/>
      <c r="K263" s="5"/>
      <c r="L263" s="3"/>
      <c r="M263" s="5"/>
      <c r="N263" s="3"/>
      <c r="O263" s="5"/>
      <c r="P263" s="3"/>
      <c r="Q263" s="5"/>
      <c r="R263" s="3"/>
      <c r="S263" s="5"/>
      <c r="T263" s="5"/>
      <c r="U263" s="5">
        <v>0</v>
      </c>
      <c r="V263" s="5"/>
      <c r="W263" s="5" t="str">
        <f>G263+I263+K263+M263+O263+Q263+S263+T263+U263+Y263</f>
        <v>0</v>
      </c>
      <c r="X263" s="5">
        <v>14250501.96</v>
      </c>
      <c r="Y263" s="5" t="str">
        <f>W263+X263</f>
        <v>0</v>
      </c>
      <c r="Z263" s="5">
        <v>0</v>
      </c>
      <c r="AA263" s="5" t="str">
        <f>Z263*D263</f>
        <v>0</v>
      </c>
      <c r="AB263" s="5">
        <v>0</v>
      </c>
      <c r="AC263" s="5" t="str">
        <f>AA263*AB263</f>
        <v>0</v>
      </c>
      <c r="AD263" s="5" t="str">
        <f>AC263-Y263</f>
        <v>0</v>
      </c>
      <c r="AE263" s="3" t="s">
        <v>169</v>
      </c>
      <c r="AF263" s="2"/>
    </row>
    <row r="264" spans="1:32">
      <c r="A264" s="3" t="s">
        <v>329</v>
      </c>
      <c r="B264" s="3" t="s">
        <v>330</v>
      </c>
      <c r="C264" s="3">
        <v>50</v>
      </c>
      <c r="D264" s="4">
        <v>18.345</v>
      </c>
      <c r="E264" s="4">
        <v>14.063</v>
      </c>
      <c r="F264" s="3"/>
      <c r="G264" s="5"/>
      <c r="H264" s="3"/>
      <c r="I264" s="5"/>
      <c r="J264" s="3"/>
      <c r="K264" s="5"/>
      <c r="L264" s="3"/>
      <c r="M264" s="5"/>
      <c r="N264" s="3"/>
      <c r="O264" s="5"/>
      <c r="P264" s="3"/>
      <c r="Q264" s="5"/>
      <c r="R264" s="3"/>
      <c r="S264" s="5"/>
      <c r="T264" s="5"/>
      <c r="U264" s="5">
        <v>0</v>
      </c>
      <c r="V264" s="5"/>
      <c r="W264" s="5" t="str">
        <f>G264+I264+K264+M264+O264+Q264+S264+T264+U264+Y264</f>
        <v>0</v>
      </c>
      <c r="X264" s="5">
        <v>6057372.3</v>
      </c>
      <c r="Y264" s="5" t="str">
        <f>W264+X264</f>
        <v>0</v>
      </c>
      <c r="Z264" s="5">
        <v>0</v>
      </c>
      <c r="AA264" s="5" t="str">
        <f>Z264*D264</f>
        <v>0</v>
      </c>
      <c r="AB264" s="5">
        <v>0</v>
      </c>
      <c r="AC264" s="5" t="str">
        <f>AA264*AB264</f>
        <v>0</v>
      </c>
      <c r="AD264" s="5" t="str">
        <f>AC264-Y264</f>
        <v>0</v>
      </c>
      <c r="AE264" s="3" t="s">
        <v>111</v>
      </c>
      <c r="AF264" s="2"/>
    </row>
    <row r="265" spans="1:32">
      <c r="A265" s="3" t="s">
        <v>329</v>
      </c>
      <c r="B265" s="3" t="s">
        <v>331</v>
      </c>
      <c r="C265" s="3">
        <v>315</v>
      </c>
      <c r="D265" s="4">
        <v>18.103</v>
      </c>
      <c r="E265" s="4">
        <v>2.286</v>
      </c>
      <c r="F265" s="3"/>
      <c r="G265" s="5"/>
      <c r="H265" s="3"/>
      <c r="I265" s="5"/>
      <c r="J265" s="3"/>
      <c r="K265" s="5"/>
      <c r="L265" s="3"/>
      <c r="M265" s="5"/>
      <c r="N265" s="3"/>
      <c r="O265" s="5"/>
      <c r="P265" s="3"/>
      <c r="Q265" s="5"/>
      <c r="R265" s="3"/>
      <c r="S265" s="5"/>
      <c r="T265" s="5"/>
      <c r="U265" s="5">
        <v>0</v>
      </c>
      <c r="V265" s="5"/>
      <c r="W265" s="5" t="str">
        <f>G265+I265+K265+M265+O265+Q265+S265+T265+U265+Y265</f>
        <v>0</v>
      </c>
      <c r="X265" s="5">
        <v>38161445.49</v>
      </c>
      <c r="Y265" s="5" t="str">
        <f>W265+X265</f>
        <v>0</v>
      </c>
      <c r="Z265" s="5">
        <v>0</v>
      </c>
      <c r="AA265" s="5" t="str">
        <f>Z265*D265</f>
        <v>0</v>
      </c>
      <c r="AB265" s="5">
        <v>0</v>
      </c>
      <c r="AC265" s="5" t="str">
        <f>AA265*AB265</f>
        <v>0</v>
      </c>
      <c r="AD265" s="5" t="str">
        <f>AC265-Y265</f>
        <v>0</v>
      </c>
      <c r="AE265" s="3" t="s">
        <v>111</v>
      </c>
      <c r="AF265" s="2"/>
    </row>
    <row r="266" spans="1:32">
      <c r="A266" s="3" t="s">
        <v>329</v>
      </c>
      <c r="B266" s="3" t="s">
        <v>332</v>
      </c>
      <c r="C266" s="3">
        <v>288</v>
      </c>
      <c r="D266" s="4">
        <v>17.727</v>
      </c>
      <c r="E266" s="4">
        <v>2.436</v>
      </c>
      <c r="F266" s="3"/>
      <c r="G266" s="5"/>
      <c r="H266" s="3"/>
      <c r="I266" s="5"/>
      <c r="J266" s="3"/>
      <c r="K266" s="5"/>
      <c r="L266" s="3"/>
      <c r="M266" s="5"/>
      <c r="N266" s="3"/>
      <c r="O266" s="5"/>
      <c r="P266" s="3"/>
      <c r="Q266" s="5"/>
      <c r="R266" s="3"/>
      <c r="S266" s="5"/>
      <c r="T266" s="5"/>
      <c r="U266" s="5">
        <v>0</v>
      </c>
      <c r="V266" s="5"/>
      <c r="W266" s="5" t="str">
        <f>G266+I266+K266+M266+O266+Q266+S266+T266+U266+Y266</f>
        <v>0</v>
      </c>
      <c r="X266" s="5">
        <v>34890464.448</v>
      </c>
      <c r="Y266" s="5" t="str">
        <f>W266+X266</f>
        <v>0</v>
      </c>
      <c r="Z266" s="5">
        <v>0</v>
      </c>
      <c r="AA266" s="5" t="str">
        <f>Z266*D266</f>
        <v>0</v>
      </c>
      <c r="AB266" s="5">
        <v>0</v>
      </c>
      <c r="AC266" s="5" t="str">
        <f>AA266*AB266</f>
        <v>0</v>
      </c>
      <c r="AD266" s="5" t="str">
        <f>AC266-Y266</f>
        <v>0</v>
      </c>
      <c r="AE266" s="3" t="s">
        <v>111</v>
      </c>
      <c r="AF266" s="2"/>
    </row>
    <row r="267" spans="1:32">
      <c r="A267" s="3" t="s">
        <v>329</v>
      </c>
      <c r="B267" s="3" t="s">
        <v>333</v>
      </c>
      <c r="C267" s="3">
        <v>60</v>
      </c>
      <c r="D267" s="4">
        <v>16.898</v>
      </c>
      <c r="E267" s="4">
        <v>10.851</v>
      </c>
      <c r="F267" s="3"/>
      <c r="G267" s="5"/>
      <c r="H267" s="3"/>
      <c r="I267" s="5"/>
      <c r="J267" s="3"/>
      <c r="K267" s="5"/>
      <c r="L267" s="3"/>
      <c r="M267" s="5"/>
      <c r="N267" s="3"/>
      <c r="O267" s="5"/>
      <c r="P267" s="3"/>
      <c r="Q267" s="5"/>
      <c r="R267" s="3"/>
      <c r="S267" s="5"/>
      <c r="T267" s="5"/>
      <c r="U267" s="5">
        <v>0</v>
      </c>
      <c r="V267" s="5"/>
      <c r="W267" s="5" t="str">
        <f>G267+I267+K267+M267+O267+Q267+S267+T267+U267+Y267</f>
        <v>0</v>
      </c>
      <c r="X267" s="5">
        <v>7268846.76</v>
      </c>
      <c r="Y267" s="5" t="str">
        <f>W267+X267</f>
        <v>0</v>
      </c>
      <c r="Z267" s="5">
        <v>0</v>
      </c>
      <c r="AA267" s="5" t="str">
        <f>Z267*D267</f>
        <v>0</v>
      </c>
      <c r="AB267" s="5">
        <v>0</v>
      </c>
      <c r="AC267" s="5" t="str">
        <f>AA267*AB267</f>
        <v>0</v>
      </c>
      <c r="AD267" s="5" t="str">
        <f>AC267-Y267</f>
        <v>0</v>
      </c>
      <c r="AE267" s="3" t="s">
        <v>111</v>
      </c>
      <c r="AF267" s="2"/>
    </row>
    <row r="268" spans="1:32">
      <c r="A268" s="3" t="s">
        <v>329</v>
      </c>
      <c r="B268" s="3" t="s">
        <v>334</v>
      </c>
      <c r="C268" s="3">
        <v>103</v>
      </c>
      <c r="D268" s="4">
        <v>5.819</v>
      </c>
      <c r="E268" s="4">
        <v>2.248</v>
      </c>
      <c r="F268" s="3"/>
      <c r="G268" s="5"/>
      <c r="H268" s="3"/>
      <c r="I268" s="5"/>
      <c r="J268" s="3"/>
      <c r="K268" s="5"/>
      <c r="L268" s="3"/>
      <c r="M268" s="5"/>
      <c r="N268" s="3"/>
      <c r="O268" s="5"/>
      <c r="P268" s="3"/>
      <c r="Q268" s="5"/>
      <c r="R268" s="3"/>
      <c r="S268" s="5"/>
      <c r="T268" s="5"/>
      <c r="U268" s="5">
        <v>0</v>
      </c>
      <c r="V268" s="5"/>
      <c r="W268" s="5" t="str">
        <f>G268+I268+K268+M268+O268+Q268+S268+T268+U268+Y268</f>
        <v>0</v>
      </c>
      <c r="X268" s="5">
        <v>12478186.938</v>
      </c>
      <c r="Y268" s="5" t="str">
        <f>W268+X268</f>
        <v>0</v>
      </c>
      <c r="Z268" s="5">
        <v>0</v>
      </c>
      <c r="AA268" s="5" t="str">
        <f>Z268*D268</f>
        <v>0</v>
      </c>
      <c r="AB268" s="5">
        <v>0</v>
      </c>
      <c r="AC268" s="5" t="str">
        <f>AA268*AB268</f>
        <v>0</v>
      </c>
      <c r="AD268" s="5" t="str">
        <f>AC268-Y268</f>
        <v>0</v>
      </c>
      <c r="AE268" s="3" t="s">
        <v>111</v>
      </c>
      <c r="AF268" s="2"/>
    </row>
    <row r="269" spans="1:32">
      <c r="A269" s="3" t="s">
        <v>329</v>
      </c>
      <c r="B269" s="3" t="s">
        <v>335</v>
      </c>
      <c r="C269" s="3">
        <v>120</v>
      </c>
      <c r="D269" s="4">
        <v>17.833</v>
      </c>
      <c r="E269" s="4">
        <v>5.812</v>
      </c>
      <c r="F269" s="3"/>
      <c r="G269" s="5"/>
      <c r="H269" s="3"/>
      <c r="I269" s="5"/>
      <c r="J269" s="3"/>
      <c r="K269" s="5"/>
      <c r="L269" s="3"/>
      <c r="M269" s="5"/>
      <c r="N269" s="3"/>
      <c r="O269" s="5"/>
      <c r="P269" s="3"/>
      <c r="Q269" s="5"/>
      <c r="R269" s="3"/>
      <c r="S269" s="5"/>
      <c r="T269" s="5"/>
      <c r="U269" s="5">
        <v>0</v>
      </c>
      <c r="V269" s="5"/>
      <c r="W269" s="5" t="str">
        <f>G269+I269+K269+M269+O269+Q269+S269+T269+U269+Y269</f>
        <v>0</v>
      </c>
      <c r="X269" s="5">
        <v>14537693.52</v>
      </c>
      <c r="Y269" s="5" t="str">
        <f>W269+X269</f>
        <v>0</v>
      </c>
      <c r="Z269" s="5">
        <v>0</v>
      </c>
      <c r="AA269" s="5" t="str">
        <f>Z269*D269</f>
        <v>0</v>
      </c>
      <c r="AB269" s="5">
        <v>0</v>
      </c>
      <c r="AC269" s="5" t="str">
        <f>AA269*AB269</f>
        <v>0</v>
      </c>
      <c r="AD269" s="5" t="str">
        <f>AC269-Y269</f>
        <v>0</v>
      </c>
      <c r="AE269" s="3" t="s">
        <v>111</v>
      </c>
      <c r="AF269" s="2"/>
    </row>
    <row r="270" spans="1:32">
      <c r="A270" s="3" t="s">
        <v>329</v>
      </c>
      <c r="B270" s="3" t="s">
        <v>336</v>
      </c>
      <c r="C270" s="3">
        <v>39</v>
      </c>
      <c r="D270" s="4">
        <v>11.658</v>
      </c>
      <c r="E270" s="4">
        <v>11.497</v>
      </c>
      <c r="F270" s="3"/>
      <c r="G270" s="5"/>
      <c r="H270" s="3"/>
      <c r="I270" s="5"/>
      <c r="J270" s="3"/>
      <c r="K270" s="5"/>
      <c r="L270" s="3"/>
      <c r="M270" s="5"/>
      <c r="N270" s="3"/>
      <c r="O270" s="5"/>
      <c r="P270" s="3"/>
      <c r="Q270" s="5"/>
      <c r="R270" s="3"/>
      <c r="S270" s="5"/>
      <c r="T270" s="5"/>
      <c r="U270" s="5">
        <v>0</v>
      </c>
      <c r="V270" s="5"/>
      <c r="W270" s="5" t="str">
        <f>G270+I270+K270+M270+O270+Q270+S270+T270+U270+Y270</f>
        <v>0</v>
      </c>
      <c r="X270" s="5">
        <v>4724750.394</v>
      </c>
      <c r="Y270" s="5" t="str">
        <f>W270+X270</f>
        <v>0</v>
      </c>
      <c r="Z270" s="5">
        <v>0</v>
      </c>
      <c r="AA270" s="5" t="str">
        <f>Z270*D270</f>
        <v>0</v>
      </c>
      <c r="AB270" s="5">
        <v>0</v>
      </c>
      <c r="AC270" s="5" t="str">
        <f>AA270*AB270</f>
        <v>0</v>
      </c>
      <c r="AD270" s="5" t="str">
        <f>AC270-Y270</f>
        <v>0</v>
      </c>
      <c r="AE270" s="3" t="s">
        <v>111</v>
      </c>
      <c r="AF270" s="2"/>
    </row>
    <row r="271" spans="1:32">
      <c r="A271" s="3" t="s">
        <v>329</v>
      </c>
      <c r="B271" s="3" t="s">
        <v>337</v>
      </c>
      <c r="C271" s="3">
        <v>361</v>
      </c>
      <c r="D271" s="4">
        <v>17.624</v>
      </c>
      <c r="E271" s="4">
        <v>1.954</v>
      </c>
      <c r="F271" s="3"/>
      <c r="G271" s="5"/>
      <c r="H271" s="3"/>
      <c r="I271" s="5"/>
      <c r="J271" s="3"/>
      <c r="K271" s="5"/>
      <c r="L271" s="3"/>
      <c r="M271" s="5"/>
      <c r="N271" s="3"/>
      <c r="O271" s="5"/>
      <c r="P271" s="3"/>
      <c r="Q271" s="5"/>
      <c r="R271" s="3"/>
      <c r="S271" s="5"/>
      <c r="T271" s="5"/>
      <c r="U271" s="5">
        <v>0</v>
      </c>
      <c r="V271" s="5"/>
      <c r="W271" s="5" t="str">
        <f>G271+I271+K271+M271+O271+Q271+S271+T271+U271+Y271</f>
        <v>0</v>
      </c>
      <c r="X271" s="5">
        <v>43734228.006</v>
      </c>
      <c r="Y271" s="5" t="str">
        <f>W271+X271</f>
        <v>0</v>
      </c>
      <c r="Z271" s="5">
        <v>0</v>
      </c>
      <c r="AA271" s="5" t="str">
        <f>Z271*D271</f>
        <v>0</v>
      </c>
      <c r="AB271" s="5">
        <v>0</v>
      </c>
      <c r="AC271" s="5" t="str">
        <f>AA271*AB271</f>
        <v>0</v>
      </c>
      <c r="AD271" s="5" t="str">
        <f>AC271-Y271</f>
        <v>0</v>
      </c>
      <c r="AE271" s="3" t="s">
        <v>111</v>
      </c>
      <c r="AF271" s="2"/>
    </row>
    <row r="272" spans="1:32">
      <c r="A272" s="3" t="s">
        <v>329</v>
      </c>
      <c r="B272" s="3" t="s">
        <v>338</v>
      </c>
      <c r="C272" s="3">
        <v>115</v>
      </c>
      <c r="D272" s="4">
        <v>6.239</v>
      </c>
      <c r="E272" s="4">
        <v>2.164</v>
      </c>
      <c r="F272" s="3"/>
      <c r="G272" s="5"/>
      <c r="H272" s="3"/>
      <c r="I272" s="5"/>
      <c r="J272" s="3"/>
      <c r="K272" s="5"/>
      <c r="L272" s="3"/>
      <c r="M272" s="5"/>
      <c r="N272" s="3"/>
      <c r="O272" s="5"/>
      <c r="P272" s="3"/>
      <c r="Q272" s="5"/>
      <c r="R272" s="3"/>
      <c r="S272" s="5"/>
      <c r="T272" s="5"/>
      <c r="U272" s="5">
        <v>0</v>
      </c>
      <c r="V272" s="5"/>
      <c r="W272" s="5" t="str">
        <f>G272+I272+K272+M272+O272+Q272+S272+T272+U272+Y272</f>
        <v>0</v>
      </c>
      <c r="X272" s="5">
        <v>13931956.29</v>
      </c>
      <c r="Y272" s="5" t="str">
        <f>W272+X272</f>
        <v>0</v>
      </c>
      <c r="Z272" s="5">
        <v>0</v>
      </c>
      <c r="AA272" s="5" t="str">
        <f>Z272*D272</f>
        <v>0</v>
      </c>
      <c r="AB272" s="5">
        <v>0</v>
      </c>
      <c r="AC272" s="5" t="str">
        <f>AA272*AB272</f>
        <v>0</v>
      </c>
      <c r="AD272" s="5" t="str">
        <f>AC272-Y272</f>
        <v>0</v>
      </c>
      <c r="AE272" s="3" t="s">
        <v>111</v>
      </c>
      <c r="AF272" s="2"/>
    </row>
    <row r="273" spans="1:32">
      <c r="A273" s="3" t="s">
        <v>329</v>
      </c>
      <c r="B273" s="3" t="s">
        <v>339</v>
      </c>
      <c r="C273" s="3">
        <v>57</v>
      </c>
      <c r="D273" s="4">
        <v>18.23</v>
      </c>
      <c r="E273" s="4">
        <v>12.303</v>
      </c>
      <c r="F273" s="3"/>
      <c r="G273" s="5"/>
      <c r="H273" s="3"/>
      <c r="I273" s="5"/>
      <c r="J273" s="3"/>
      <c r="K273" s="5"/>
      <c r="L273" s="3"/>
      <c r="M273" s="5"/>
      <c r="N273" s="3"/>
      <c r="O273" s="5"/>
      <c r="P273" s="3"/>
      <c r="Q273" s="5"/>
      <c r="R273" s="3"/>
      <c r="S273" s="5"/>
      <c r="T273" s="5"/>
      <c r="U273" s="5">
        <v>0</v>
      </c>
      <c r="V273" s="5"/>
      <c r="W273" s="5" t="str">
        <f>G273+I273+K273+M273+O273+Q273+S273+T273+U273+Y273</f>
        <v>0</v>
      </c>
      <c r="X273" s="5">
        <v>6905404.422</v>
      </c>
      <c r="Y273" s="5" t="str">
        <f>W273+X273</f>
        <v>0</v>
      </c>
      <c r="Z273" s="5">
        <v>0</v>
      </c>
      <c r="AA273" s="5" t="str">
        <f>Z273*D273</f>
        <v>0</v>
      </c>
      <c r="AB273" s="5">
        <v>0</v>
      </c>
      <c r="AC273" s="5" t="str">
        <f>AA273*AB273</f>
        <v>0</v>
      </c>
      <c r="AD273" s="5" t="str">
        <f>AC273-Y273</f>
        <v>0</v>
      </c>
      <c r="AE273" s="3" t="s">
        <v>111</v>
      </c>
      <c r="AF273" s="2"/>
    </row>
    <row r="274" spans="1:32">
      <c r="A274" s="3" t="s">
        <v>329</v>
      </c>
      <c r="B274" s="3" t="s">
        <v>340</v>
      </c>
      <c r="C274" s="3">
        <v>61</v>
      </c>
      <c r="D274" s="4">
        <v>11.379</v>
      </c>
      <c r="E274" s="4">
        <v>7.3</v>
      </c>
      <c r="F274" s="3"/>
      <c r="G274" s="5"/>
      <c r="H274" s="3"/>
      <c r="I274" s="5"/>
      <c r="J274" s="3"/>
      <c r="K274" s="5"/>
      <c r="L274" s="3"/>
      <c r="M274" s="5"/>
      <c r="N274" s="3"/>
      <c r="O274" s="5"/>
      <c r="P274" s="3"/>
      <c r="Q274" s="5"/>
      <c r="R274" s="3"/>
      <c r="S274" s="5"/>
      <c r="T274" s="5"/>
      <c r="U274" s="5">
        <v>0</v>
      </c>
      <c r="V274" s="5"/>
      <c r="W274" s="5" t="str">
        <f>G274+I274+K274+M274+O274+Q274+S274+T274+U274+Y274</f>
        <v>0</v>
      </c>
      <c r="X274" s="5">
        <v>7389994.206</v>
      </c>
      <c r="Y274" s="5" t="str">
        <f>W274+X274</f>
        <v>0</v>
      </c>
      <c r="Z274" s="5">
        <v>0</v>
      </c>
      <c r="AA274" s="5" t="str">
        <f>Z274*D274</f>
        <v>0</v>
      </c>
      <c r="AB274" s="5">
        <v>0</v>
      </c>
      <c r="AC274" s="5" t="str">
        <f>AA274*AB274</f>
        <v>0</v>
      </c>
      <c r="AD274" s="5" t="str">
        <f>AC274-Y274</f>
        <v>0</v>
      </c>
      <c r="AE274" s="3" t="s">
        <v>111</v>
      </c>
      <c r="AF274" s="2"/>
    </row>
    <row r="275" spans="1:32">
      <c r="A275" s="3" t="s">
        <v>329</v>
      </c>
      <c r="B275" s="3" t="s">
        <v>341</v>
      </c>
      <c r="C275" s="3">
        <v>332</v>
      </c>
      <c r="D275" s="4">
        <v>17.407</v>
      </c>
      <c r="E275" s="4">
        <v>2.092</v>
      </c>
      <c r="F275" s="3"/>
      <c r="G275" s="5"/>
      <c r="H275" s="3"/>
      <c r="I275" s="5"/>
      <c r="J275" s="3"/>
      <c r="K275" s="5"/>
      <c r="L275" s="3"/>
      <c r="M275" s="5"/>
      <c r="N275" s="3"/>
      <c r="O275" s="5"/>
      <c r="P275" s="3"/>
      <c r="Q275" s="5"/>
      <c r="R275" s="3"/>
      <c r="S275" s="5"/>
      <c r="T275" s="5"/>
      <c r="U275" s="5">
        <v>0</v>
      </c>
      <c r="V275" s="5"/>
      <c r="W275" s="5" t="str">
        <f>G275+I275+K275+M275+O275+Q275+S275+T275+U275+Y275</f>
        <v>0</v>
      </c>
      <c r="X275" s="5">
        <v>40220952.072</v>
      </c>
      <c r="Y275" s="5" t="str">
        <f>W275+X275</f>
        <v>0</v>
      </c>
      <c r="Z275" s="5">
        <v>0</v>
      </c>
      <c r="AA275" s="5" t="str">
        <f>Z275*D275</f>
        <v>0</v>
      </c>
      <c r="AB275" s="5">
        <v>0</v>
      </c>
      <c r="AC275" s="5" t="str">
        <f>AA275*AB275</f>
        <v>0</v>
      </c>
      <c r="AD275" s="5" t="str">
        <f>AC275-Y275</f>
        <v>0</v>
      </c>
      <c r="AE275" s="3" t="s">
        <v>111</v>
      </c>
      <c r="AF27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Summary 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2026-02-05T17:00:33+01:00</dcterms:created>
  <dcterms:modified xsi:type="dcterms:W3CDTF">2026-02-05T17:00:33+01:00</dcterms:modified>
  <dc:title>Untitled Spreadsheet</dc:title>
  <dc:description/>
  <dc:subject/>
  <cp:keywords/>
  <cp:category/>
</cp:coreProperties>
</file>