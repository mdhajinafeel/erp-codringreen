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MARY" sheetId="1" r:id="rId4"/>
    <sheet name="TRLU7516207" sheetId="2" r:id="rId5"/>
    <sheet name="DFSU7596805L" sheetId="3" r:id="rId6"/>
  </sheets>
  <definedNames>
    <definedName name="_xlnm._FilterDatabase" localSheetId="1" hidden="1">'TRLU7516207'!$A$15:$E$15</definedName>
    <definedName name="_xlnm._FilterDatabase" localSheetId="2" hidden="1">'DFSU7596805L'!$A$15:$E$15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<sst xmlns="http://schemas.openxmlformats.org/spreadsheetml/2006/main" uniqueCount="49">
  <si>
    <t>SHIPMENT ADVICE</t>
  </si>
  <si>
    <t>SA Number</t>
  </si>
  <si>
    <t>SA045/2025-2</t>
  </si>
  <si>
    <t>Port of Loading</t>
  </si>
  <si>
    <t>CARTAGENA</t>
  </si>
  <si>
    <t>Port of Discharge</t>
  </si>
  <si>
    <t>MUNDRA, IN</t>
  </si>
  <si>
    <t>Shipped Date</t>
  </si>
  <si>
    <t>BL Number</t>
  </si>
  <si>
    <t>BGA0463159</t>
  </si>
  <si>
    <t>BL Date</t>
  </si>
  <si>
    <t>03/05/2025</t>
  </si>
  <si>
    <t>Vessel Name &amp; Voyage</t>
  </si>
  <si>
    <t>CMA CGM PETRA / 0PPKIW2MA</t>
  </si>
  <si>
    <t>Product Type</t>
  </si>
  <si>
    <t>Round Logs</t>
  </si>
  <si>
    <t>Shipping Line</t>
  </si>
  <si>
    <t>CMA CGM</t>
  </si>
  <si>
    <t>Origin</t>
  </si>
  <si>
    <t>Colombia</t>
  </si>
  <si>
    <t>No. of FCLs</t>
  </si>
  <si>
    <t>ETA Destination</t>
  </si>
  <si>
    <t>Client P.No</t>
  </si>
  <si>
    <t>Stuffing Date</t>
  </si>
  <si>
    <t>Container Number</t>
  </si>
  <si>
    <t>Length</t>
  </si>
  <si>
    <t>Circumference</t>
  </si>
  <si>
    <t>Gross Volume (m³)</t>
  </si>
  <si>
    <t>Net Volume (m³)</t>
  </si>
  <si>
    <t>Pieces</t>
  </si>
  <si>
    <t>CFT</t>
  </si>
  <si>
    <t>Photo Link</t>
  </si>
  <si>
    <t>COL/2025</t>
  </si>
  <si>
    <t>26/04/2025</t>
  </si>
  <si>
    <t>TRLU7516207</t>
  </si>
  <si>
    <t>https://portal.codringreen.com/photos/viewcontainerimages?did=3507</t>
  </si>
  <si>
    <t>DFSU7596805L</t>
  </si>
  <si>
    <t>https://portal.codringreen.com/photos/viewcontainerimages?did=3508</t>
  </si>
  <si>
    <t>2 Containers</t>
  </si>
  <si>
    <t>Seller Legal Representative</t>
  </si>
  <si>
    <t>Load Date</t>
  </si>
  <si>
    <t>Loading Place</t>
  </si>
  <si>
    <t>CY DE COLOMBIA</t>
  </si>
  <si>
    <t>Seal Number</t>
  </si>
  <si>
    <t>Circumference Allowance</t>
  </si>
  <si>
    <t>Length Allowance</t>
  </si>
  <si>
    <t>Total Gross Volume (m³)</t>
  </si>
  <si>
    <t>Total Net Volume (m³)</t>
  </si>
  <si>
    <t>No of Pieces</t>
  </si>
</sst>
</file>

<file path=xl/styles.xml><?xml version="1.0" encoding="utf-8"?>
<styleSheet xmlns="http://schemas.openxmlformats.org/spreadsheetml/2006/main" xml:space="preserve">
  <numFmts count="3">
    <numFmt numFmtId="164" formatCode="dd/mm/yy"/>
    <numFmt numFmtId="165" formatCode="_(* #,##0.000_);_(* (#,##0.000);_(* &quot;-&quot;??_);_(@_)"/>
    <numFmt numFmtId="166" formatCode="0.0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4D79B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65" fillId="2" borderId="1" applyFont="1" applyNumberFormat="1" applyFill="1" applyBorder="1" applyAlignment="1">
      <alignment horizontal="center" vertical="center" textRotation="0" wrapText="false" shrinkToFit="false"/>
    </xf>
    <xf xfId="0" fontId="0" numFmtId="2" fillId="0" borderId="1" applyFont="0" applyNumberFormat="1" applyFill="0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0" numFmtId="166" fillId="0" borderId="1" applyFont="0" applyNumberFormat="1" applyFill="0" applyBorder="1" applyAlignment="1">
      <alignment horizontal="left" vertical="bottom" textRotation="0" wrapText="false" shrinkToFit="false"/>
    </xf>
    <xf xfId="0" fontId="0" numFmtId="166" fillId="0" borderId="1" applyFont="0" applyNumberFormat="1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2" fillId="2" borderId="1" applyFont="1" applyNumberFormat="1" applyFill="1" applyBorder="1" applyAlignment="0">
      <alignment horizontal="general" vertical="bottom" textRotation="0" wrapText="false" shrinkToFit="false"/>
    </xf>
    <xf xfId="0" fontId="2" numFmtId="166" fillId="2" borderId="1" applyFont="1" applyNumberFormat="1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f89bcaa2c59a5b2f9a65833b166da17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ae2b55293e94cd6187484c39318bb088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dc3b3c771d3b779e11586f6ba2a47e4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6825" cy="571500"/>
    <xdr:pic>
      <xdr:nvPicPr>
        <xdr:cNvPr id="1" name="Codrin Green" descr="Codrin Gre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1266825" cy="571500"/>
    <xdr:pic>
      <xdr:nvPicPr>
        <xdr:cNvPr id="1" name="Codrin Green" descr="Codrin Gre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1266825" cy="571500"/>
    <xdr:pic>
      <xdr:nvPicPr>
        <xdr:cNvPr id="1" name="Codrin Green" descr="Codrin Gre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portal.codringreen.com/photos/viewcontainerimages?did=3507" TargetMode="External"/><Relationship Id="rId_hyperlink_2" Type="http://schemas.openxmlformats.org/officeDocument/2006/relationships/hyperlink" Target="https://portal.codringreen.com/photos/viewcontainerimages?did=350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zoomScale="95" showGridLines="true" showRowColHeaders="1">
      <selection activeCell="A24" sqref="A24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9.995117" bestFit="true" customWidth="true" style="0"/>
    <col min="4" max="4" width="15.281982" bestFit="true" customWidth="true" style="0"/>
    <col min="5" max="5" width="24.708252" bestFit="true" customWidth="true" style="0"/>
    <col min="6" max="6" width="30.563965" bestFit="true" customWidth="true" style="0"/>
    <col min="7" max="7" width="21.137695" bestFit="true" customWidth="true" style="0"/>
    <col min="8" max="8" width="18.709717" bestFit="true" customWidth="true" style="0"/>
    <col min="9" max="9" width="8.140869" bestFit="true" customWidth="true" style="0"/>
    <col min="10" max="10" width="5.855713" bestFit="true" customWidth="true" style="0"/>
    <col min="11" max="11" width="78.980713" bestFit="true" customWidth="true" style="0"/>
  </cols>
  <sheetData>
    <row r="1" spans="1:11">
      <c r="A1" s="0"/>
      <c r="E1" s="1" t="s">
        <v>0</v>
      </c>
    </row>
    <row r="5" spans="1:11">
      <c r="E5" s="2" t="s">
        <v>1</v>
      </c>
      <c r="F5" s="4" t="s">
        <v>2</v>
      </c>
    </row>
    <row r="6" spans="1:11">
      <c r="E6" s="2" t="s">
        <v>3</v>
      </c>
      <c r="F6" s="4" t="s">
        <v>4</v>
      </c>
    </row>
    <row r="7" spans="1:11">
      <c r="E7" s="2" t="s">
        <v>5</v>
      </c>
      <c r="F7" s="4" t="s">
        <v>6</v>
      </c>
    </row>
    <row r="8" spans="1:11">
      <c r="E8" s="2" t="s">
        <v>7</v>
      </c>
      <c r="F8" s="5">
        <v>45780</v>
      </c>
    </row>
    <row r="9" spans="1:11">
      <c r="E9" s="2" t="s">
        <v>8</v>
      </c>
      <c r="F9" s="4" t="s">
        <v>9</v>
      </c>
    </row>
    <row r="10" spans="1:11">
      <c r="E10" s="2" t="s">
        <v>10</v>
      </c>
      <c r="F10" s="4" t="s">
        <v>11</v>
      </c>
    </row>
    <row r="11" spans="1:11">
      <c r="E11" s="2" t="s">
        <v>12</v>
      </c>
      <c r="F11" s="4" t="s">
        <v>13</v>
      </c>
    </row>
    <row r="12" spans="1:11">
      <c r="A12" s="2" t="s">
        <v>14</v>
      </c>
      <c r="B12" s="3" t="s">
        <v>15</v>
      </c>
      <c r="E12" s="2" t="s">
        <v>16</v>
      </c>
      <c r="F12" s="4" t="s">
        <v>17</v>
      </c>
    </row>
    <row r="13" spans="1:11">
      <c r="A13" s="2" t="s">
        <v>18</v>
      </c>
      <c r="B13" s="3" t="s">
        <v>19</v>
      </c>
      <c r="E13" s="2" t="s">
        <v>20</v>
      </c>
      <c r="F13" s="4">
        <v>2</v>
      </c>
    </row>
    <row r="14" spans="1:11">
      <c r="E14" s="2" t="s">
        <v>21</v>
      </c>
      <c r="F14" s="5" t="str">
        <f>F8+42</f>
        <v>0</v>
      </c>
    </row>
    <row r="17" spans="1:11">
      <c r="A17" s="6" t="s">
        <v>22</v>
      </c>
      <c r="B17" s="6" t="s">
        <v>23</v>
      </c>
      <c r="C17" s="6" t="s">
        <v>24</v>
      </c>
      <c r="D17" s="6" t="s">
        <v>14</v>
      </c>
      <c r="E17" s="6" t="s">
        <v>25</v>
      </c>
      <c r="F17" s="6" t="s">
        <v>26</v>
      </c>
      <c r="G17" s="6" t="s">
        <v>27</v>
      </c>
      <c r="H17" s="6" t="s">
        <v>28</v>
      </c>
      <c r="I17" s="6" t="s">
        <v>29</v>
      </c>
      <c r="J17" s="6" t="s">
        <v>30</v>
      </c>
      <c r="K17" s="6" t="s">
        <v>31</v>
      </c>
    </row>
    <row r="18" spans="1:11">
      <c r="A18" s="3" t="s">
        <v>32</v>
      </c>
      <c r="B18" s="3" t="s">
        <v>33</v>
      </c>
      <c r="C18" s="3" t="s">
        <v>34</v>
      </c>
      <c r="D18" s="3" t="str">
        <f>IF(E18="","",IF(E18&lt;2.75,"SHORTS",IF(E18&lt;6,"SEMI LONGS","LONGS")))</f>
        <v>0</v>
      </c>
      <c r="E18" s="9" t="str">
        <f>'TRLU7516207'!B7</f>
        <v>0</v>
      </c>
      <c r="F18" s="3" t="str">
        <f>'TRLU7516207'!B8</f>
        <v>0</v>
      </c>
      <c r="G18" s="13" t="str">
        <f>'TRLU7516207'!B11</f>
        <v>0</v>
      </c>
      <c r="H18" s="13" t="str">
        <f>'TRLU7516207'!B12</f>
        <v>0</v>
      </c>
      <c r="I18" s="3" t="str">
        <f>'TRLU7516207'!B6</f>
        <v>0</v>
      </c>
      <c r="J18" s="9" t="str">
        <f>'TRLU7516207'!B13</f>
        <v>0</v>
      </c>
      <c r="K18" s="14" t="s">
        <v>35</v>
      </c>
    </row>
    <row r="19" spans="1:11">
      <c r="A19" s="3" t="s">
        <v>32</v>
      </c>
      <c r="B19" s="3" t="s">
        <v>33</v>
      </c>
      <c r="C19" s="3" t="s">
        <v>36</v>
      </c>
      <c r="D19" s="3" t="str">
        <f>IF(E19="","",IF(E19&lt;2.75,"SHORTS",IF(E19&lt;6,"SEMI LONGS","LONGS")))</f>
        <v>0</v>
      </c>
      <c r="E19" s="9" t="str">
        <f>'DFSU7596805L'!B7</f>
        <v>0</v>
      </c>
      <c r="F19" s="3" t="str">
        <f>'DFSU7596805L'!B8</f>
        <v>0</v>
      </c>
      <c r="G19" s="13" t="str">
        <f>'DFSU7596805L'!B11</f>
        <v>0</v>
      </c>
      <c r="H19" s="13" t="str">
        <f>'DFSU7596805L'!B12</f>
        <v>0</v>
      </c>
      <c r="I19" s="3" t="str">
        <f>'DFSU7596805L'!B6</f>
        <v>0</v>
      </c>
      <c r="J19" s="9" t="str">
        <f>'DFSU7596805L'!B13</f>
        <v>0</v>
      </c>
      <c r="K19" s="14" t="s">
        <v>37</v>
      </c>
    </row>
    <row r="21" spans="1:11">
      <c r="A21" s="6"/>
      <c r="B21" s="6"/>
      <c r="C21" s="6" t="s">
        <v>38</v>
      </c>
      <c r="D21" s="6"/>
      <c r="E21" s="15" t="str">
        <f>ROUND(AVERAGE(E18:E19), 2)</f>
        <v>0</v>
      </c>
      <c r="F21" s="6" t="str">
        <f>TRUNC(AVERAGE(F18:F19), 0)</f>
        <v>0</v>
      </c>
      <c r="G21" s="16" t="str">
        <f>SUM(G18:G19)</f>
        <v>0</v>
      </c>
      <c r="H21" s="16" t="str">
        <f>SUM(H18:H19)</f>
        <v>0</v>
      </c>
      <c r="I21" s="6" t="str">
        <f>SUM(I18:I19)</f>
        <v>0</v>
      </c>
      <c r="J21" s="15" t="str">
        <f>ROUND(AVERAGE(J18:J19),2)</f>
        <v>0</v>
      </c>
      <c r="K21" s="6"/>
    </row>
    <row r="23" spans="1:11">
      <c r="A23" s="17"/>
      <c r="B23" s="17"/>
      <c r="C23" s="17"/>
      <c r="D23" s="17"/>
      <c r="E23" s="17"/>
    </row>
    <row r="24" spans="1:11">
      <c r="A24" s="18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:E24"/>
  </mergeCells>
  <hyperlinks>
    <hyperlink ref="K18" r:id="rId_hyperlink_1"/>
    <hyperlink ref="K19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H86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28.135986" bestFit="true" customWidth="true" style="0"/>
    <col min="2" max="2" width="17.567139" bestFit="true" customWidth="true" style="0"/>
    <col min="3" max="3" width="8.140869" bestFit="true" customWidth="true" style="0"/>
    <col min="4" max="4" width="21.137695" bestFit="true" customWidth="true" style="0"/>
    <col min="5" max="5" width="18.709717" bestFit="true" customWidth="true" style="0"/>
  </cols>
  <sheetData>
    <row r="2" spans="1:8">
      <c r="A2" s="2" t="s">
        <v>24</v>
      </c>
      <c r="B2" s="4" t="s">
        <v>34</v>
      </c>
    </row>
    <row r="3" spans="1:8">
      <c r="A3" s="2" t="s">
        <v>40</v>
      </c>
      <c r="B3" s="4" t="s">
        <v>33</v>
      </c>
    </row>
    <row r="4" spans="1:8">
      <c r="A4" s="2" t="s">
        <v>41</v>
      </c>
      <c r="B4" s="4" t="s">
        <v>42</v>
      </c>
    </row>
    <row r="5" spans="1:8">
      <c r="A5" s="2" t="s">
        <v>43</v>
      </c>
      <c r="B5" s="4"/>
    </row>
    <row r="6" spans="1:8">
      <c r="A6" s="2" t="s">
        <v>29</v>
      </c>
      <c r="B6" s="4" t="str">
        <f>SUM(A16:A86)</f>
        <v>0</v>
      </c>
    </row>
    <row r="7" spans="1:8">
      <c r="A7" s="2" t="s">
        <v>25</v>
      </c>
      <c r="B7" s="11" t="str">
        <f>ROUND(SUMPRODUCT(C16:C86,A16:A86)/B6,2)</f>
        <v>0</v>
      </c>
    </row>
    <row r="8" spans="1:8">
      <c r="A8" s="2" t="s">
        <v>26</v>
      </c>
      <c r="B8" s="4" t="str">
        <f>TRUNC(SUMPRODUCT(B16:B86,A16:A86)/B6,0)</f>
        <v>0</v>
      </c>
    </row>
    <row r="9" spans="1:8">
      <c r="A9" s="2" t="s">
        <v>44</v>
      </c>
      <c r="B9" s="4">
        <v>3</v>
      </c>
    </row>
    <row r="10" spans="1:8">
      <c r="A10" s="2" t="s">
        <v>45</v>
      </c>
      <c r="B10" s="4">
        <v>5</v>
      </c>
      <c r="H10" s="0"/>
    </row>
    <row r="11" spans="1:8">
      <c r="A11" s="2" t="s">
        <v>46</v>
      </c>
      <c r="B11" s="12" t="str">
        <f>SUM(D16:D86)</f>
        <v>0</v>
      </c>
    </row>
    <row r="12" spans="1:8">
      <c r="A12" s="2" t="s">
        <v>47</v>
      </c>
      <c r="B12" s="12" t="str">
        <f>SUM(E16:E86)</f>
        <v>0</v>
      </c>
    </row>
    <row r="13" spans="1:8">
      <c r="A13" s="2" t="s">
        <v>30</v>
      </c>
      <c r="B13" s="11" t="str">
        <f>ROUND(B11/B6*35.315,2)</f>
        <v>0</v>
      </c>
    </row>
    <row r="15" spans="1:8" customHeight="1" ht="30">
      <c r="A15" s="7" t="s">
        <v>48</v>
      </c>
      <c r="B15" s="7" t="s">
        <v>26</v>
      </c>
      <c r="C15" s="7" t="s">
        <v>25</v>
      </c>
      <c r="D15" s="8" t="s">
        <v>27</v>
      </c>
      <c r="E15" s="8" t="s">
        <v>28</v>
      </c>
    </row>
    <row r="16" spans="1:8">
      <c r="A16" s="3">
        <v>4</v>
      </c>
      <c r="B16" s="3">
        <v>32</v>
      </c>
      <c r="C16" s="9">
        <v>2.25</v>
      </c>
      <c r="D16" s="10">
        <v>0.056</v>
      </c>
      <c r="E16" s="10">
        <v>0.044</v>
      </c>
    </row>
    <row r="17" spans="1:8">
      <c r="A17" s="3">
        <v>3</v>
      </c>
      <c r="B17" s="3">
        <v>33</v>
      </c>
      <c r="C17" s="9">
        <v>2.25</v>
      </c>
      <c r="D17" s="10">
        <v>0.045</v>
      </c>
      <c r="E17" s="10">
        <v>0.036</v>
      </c>
    </row>
    <row r="18" spans="1:8">
      <c r="A18" s="3">
        <v>4</v>
      </c>
      <c r="B18" s="3">
        <v>34</v>
      </c>
      <c r="C18" s="9">
        <v>2.25</v>
      </c>
      <c r="D18" s="10">
        <v>0.064</v>
      </c>
      <c r="E18" s="10">
        <v>0.052</v>
      </c>
    </row>
    <row r="19" spans="1:8">
      <c r="A19" s="3">
        <v>6</v>
      </c>
      <c r="B19" s="3">
        <v>35</v>
      </c>
      <c r="C19" s="9">
        <v>2.25</v>
      </c>
      <c r="D19" s="10">
        <v>0.102</v>
      </c>
      <c r="E19" s="10">
        <v>0.084</v>
      </c>
    </row>
    <row r="20" spans="1:8">
      <c r="A20" s="3">
        <v>4</v>
      </c>
      <c r="B20" s="3">
        <v>36</v>
      </c>
      <c r="C20" s="9">
        <v>2.25</v>
      </c>
      <c r="D20" s="10">
        <v>0.072</v>
      </c>
      <c r="E20" s="10">
        <v>0.056</v>
      </c>
    </row>
    <row r="21" spans="1:8">
      <c r="A21" s="3">
        <v>15</v>
      </c>
      <c r="B21" s="3">
        <v>37</v>
      </c>
      <c r="C21" s="9">
        <v>2.25</v>
      </c>
      <c r="D21" s="10">
        <v>0.285</v>
      </c>
      <c r="E21" s="10">
        <v>0.225</v>
      </c>
    </row>
    <row r="22" spans="1:8">
      <c r="A22" s="3">
        <v>18</v>
      </c>
      <c r="B22" s="3">
        <v>38</v>
      </c>
      <c r="C22" s="9">
        <v>2.25</v>
      </c>
      <c r="D22" s="10">
        <v>0.36</v>
      </c>
      <c r="E22" s="10">
        <v>0.288</v>
      </c>
    </row>
    <row r="23" spans="1:8">
      <c r="A23" s="3">
        <v>18</v>
      </c>
      <c r="B23" s="3">
        <v>39</v>
      </c>
      <c r="C23" s="9">
        <v>2.25</v>
      </c>
      <c r="D23" s="10">
        <v>0.378</v>
      </c>
      <c r="E23" s="10">
        <v>0.306</v>
      </c>
    </row>
    <row r="24" spans="1:8">
      <c r="A24" s="3">
        <v>25</v>
      </c>
      <c r="B24" s="3">
        <v>40</v>
      </c>
      <c r="C24" s="9">
        <v>2.25</v>
      </c>
      <c r="D24" s="10">
        <v>0.55</v>
      </c>
      <c r="E24" s="10">
        <v>0.45</v>
      </c>
    </row>
    <row r="25" spans="1:8">
      <c r="A25" s="3">
        <v>1</v>
      </c>
      <c r="B25" s="3">
        <v>41</v>
      </c>
      <c r="C25" s="9">
        <v>2</v>
      </c>
      <c r="D25" s="10">
        <v>0.021</v>
      </c>
      <c r="E25" s="10">
        <v>0.017</v>
      </c>
    </row>
    <row r="26" spans="1:8">
      <c r="A26" s="3">
        <v>23</v>
      </c>
      <c r="B26" s="3">
        <v>41</v>
      </c>
      <c r="C26" s="9">
        <v>2.25</v>
      </c>
      <c r="D26" s="10">
        <v>0.529</v>
      </c>
      <c r="E26" s="10">
        <v>0.437</v>
      </c>
    </row>
    <row r="27" spans="1:8">
      <c r="A27" s="3">
        <v>17</v>
      </c>
      <c r="B27" s="3">
        <v>42</v>
      </c>
      <c r="C27" s="9">
        <v>2.25</v>
      </c>
      <c r="D27" s="10">
        <v>0.408</v>
      </c>
      <c r="E27" s="10">
        <v>0.34</v>
      </c>
    </row>
    <row r="28" spans="1:8">
      <c r="A28" s="3">
        <v>1</v>
      </c>
      <c r="B28" s="3">
        <v>43</v>
      </c>
      <c r="C28" s="9">
        <v>2</v>
      </c>
      <c r="D28" s="10">
        <v>0.023</v>
      </c>
      <c r="E28" s="10">
        <v>0.019</v>
      </c>
    </row>
    <row r="29" spans="1:8">
      <c r="A29" s="3">
        <v>32</v>
      </c>
      <c r="B29" s="3">
        <v>43</v>
      </c>
      <c r="C29" s="9">
        <v>2.25</v>
      </c>
      <c r="D29" s="10">
        <v>0.832</v>
      </c>
      <c r="E29" s="10">
        <v>0.704</v>
      </c>
    </row>
    <row r="30" spans="1:8">
      <c r="A30" s="3">
        <v>1</v>
      </c>
      <c r="B30" s="3">
        <v>44</v>
      </c>
      <c r="C30" s="9">
        <v>2</v>
      </c>
      <c r="D30" s="10">
        <v>0.024</v>
      </c>
      <c r="E30" s="10">
        <v>0.02</v>
      </c>
    </row>
    <row r="31" spans="1:8">
      <c r="A31" s="3">
        <v>24</v>
      </c>
      <c r="B31" s="3">
        <v>44</v>
      </c>
      <c r="C31" s="9">
        <v>2.25</v>
      </c>
      <c r="D31" s="10">
        <v>0.648</v>
      </c>
      <c r="E31" s="10">
        <v>0.552</v>
      </c>
    </row>
    <row r="32" spans="1:8">
      <c r="A32" s="3">
        <v>33</v>
      </c>
      <c r="B32" s="3">
        <v>45</v>
      </c>
      <c r="C32" s="9">
        <v>2.25</v>
      </c>
      <c r="D32" s="10">
        <v>0.924</v>
      </c>
      <c r="E32" s="10">
        <v>0.792</v>
      </c>
    </row>
    <row r="33" spans="1:8">
      <c r="A33" s="3">
        <v>2</v>
      </c>
      <c r="B33" s="3">
        <v>46</v>
      </c>
      <c r="C33" s="9">
        <v>2</v>
      </c>
      <c r="D33" s="10">
        <v>0.052</v>
      </c>
      <c r="E33" s="10">
        <v>0.044</v>
      </c>
    </row>
    <row r="34" spans="1:8">
      <c r="A34" s="3">
        <v>30</v>
      </c>
      <c r="B34" s="3">
        <v>46</v>
      </c>
      <c r="C34" s="9">
        <v>2.25</v>
      </c>
      <c r="D34" s="10">
        <v>0.87</v>
      </c>
      <c r="E34" s="10">
        <v>0.75</v>
      </c>
    </row>
    <row r="35" spans="1:8">
      <c r="A35" s="3">
        <v>2</v>
      </c>
      <c r="B35" s="3">
        <v>47</v>
      </c>
      <c r="C35" s="9">
        <v>2</v>
      </c>
      <c r="D35" s="10">
        <v>0.054</v>
      </c>
      <c r="E35" s="10">
        <v>0.046</v>
      </c>
    </row>
    <row r="36" spans="1:8">
      <c r="A36" s="3">
        <v>20</v>
      </c>
      <c r="B36" s="3">
        <v>47</v>
      </c>
      <c r="C36" s="9">
        <v>2.25</v>
      </c>
      <c r="D36" s="10">
        <v>0.62</v>
      </c>
      <c r="E36" s="10">
        <v>0.52</v>
      </c>
    </row>
    <row r="37" spans="1:8">
      <c r="A37" s="3">
        <v>1</v>
      </c>
      <c r="B37" s="3">
        <v>48</v>
      </c>
      <c r="C37" s="9">
        <v>2</v>
      </c>
      <c r="D37" s="10">
        <v>0.028</v>
      </c>
      <c r="E37" s="10">
        <v>0.024</v>
      </c>
    </row>
    <row r="38" spans="1:8">
      <c r="A38" s="3">
        <v>20</v>
      </c>
      <c r="B38" s="3">
        <v>48</v>
      </c>
      <c r="C38" s="9">
        <v>2.25</v>
      </c>
      <c r="D38" s="10">
        <v>0.64</v>
      </c>
      <c r="E38" s="10">
        <v>0.54</v>
      </c>
    </row>
    <row r="39" spans="1:8">
      <c r="A39" s="3">
        <v>28</v>
      </c>
      <c r="B39" s="3">
        <v>49</v>
      </c>
      <c r="C39" s="9">
        <v>2.25</v>
      </c>
      <c r="D39" s="10">
        <v>0.924</v>
      </c>
      <c r="E39" s="10">
        <v>0.812</v>
      </c>
    </row>
    <row r="40" spans="1:8">
      <c r="A40" s="3">
        <v>2</v>
      </c>
      <c r="B40" s="3">
        <v>50</v>
      </c>
      <c r="C40" s="9">
        <v>2</v>
      </c>
      <c r="D40" s="10">
        <v>0.062</v>
      </c>
      <c r="E40" s="10">
        <v>0.052</v>
      </c>
    </row>
    <row r="41" spans="1:8">
      <c r="A41" s="3">
        <v>38</v>
      </c>
      <c r="B41" s="3">
        <v>50</v>
      </c>
      <c r="C41" s="9">
        <v>2.25</v>
      </c>
      <c r="D41" s="10">
        <v>1.33</v>
      </c>
      <c r="E41" s="10">
        <v>1.14</v>
      </c>
    </row>
    <row r="42" spans="1:8">
      <c r="A42" s="3">
        <v>24</v>
      </c>
      <c r="B42" s="3">
        <v>51</v>
      </c>
      <c r="C42" s="9">
        <v>2.25</v>
      </c>
      <c r="D42" s="10">
        <v>0.864</v>
      </c>
      <c r="E42" s="10">
        <v>0.744</v>
      </c>
    </row>
    <row r="43" spans="1:8">
      <c r="A43" s="3">
        <v>23</v>
      </c>
      <c r="B43" s="3">
        <v>52</v>
      </c>
      <c r="C43" s="9">
        <v>2.25</v>
      </c>
      <c r="D43" s="10">
        <v>0.874</v>
      </c>
      <c r="E43" s="10">
        <v>0.759</v>
      </c>
    </row>
    <row r="44" spans="1:8">
      <c r="A44" s="3">
        <v>1</v>
      </c>
      <c r="B44" s="3">
        <v>53</v>
      </c>
      <c r="C44" s="9">
        <v>2</v>
      </c>
      <c r="D44" s="10">
        <v>0.035</v>
      </c>
      <c r="E44" s="10">
        <v>0.03</v>
      </c>
    </row>
    <row r="45" spans="1:8">
      <c r="A45" s="3">
        <v>19</v>
      </c>
      <c r="B45" s="3">
        <v>53</v>
      </c>
      <c r="C45" s="9">
        <v>2.25</v>
      </c>
      <c r="D45" s="10">
        <v>0.741</v>
      </c>
      <c r="E45" s="10">
        <v>0.646</v>
      </c>
    </row>
    <row r="46" spans="1:8">
      <c r="A46" s="3">
        <v>1</v>
      </c>
      <c r="B46" s="3">
        <v>54</v>
      </c>
      <c r="C46" s="9">
        <v>2</v>
      </c>
      <c r="D46" s="10">
        <v>0.036</v>
      </c>
      <c r="E46" s="10">
        <v>0.031</v>
      </c>
    </row>
    <row r="47" spans="1:8">
      <c r="A47" s="3">
        <v>20</v>
      </c>
      <c r="B47" s="3">
        <v>54</v>
      </c>
      <c r="C47" s="9">
        <v>2.25</v>
      </c>
      <c r="D47" s="10">
        <v>0.82</v>
      </c>
      <c r="E47" s="10">
        <v>0.7</v>
      </c>
    </row>
    <row r="48" spans="1:8">
      <c r="A48" s="3">
        <v>17</v>
      </c>
      <c r="B48" s="3">
        <v>55</v>
      </c>
      <c r="C48" s="9">
        <v>2.25</v>
      </c>
      <c r="D48" s="10">
        <v>0.714</v>
      </c>
      <c r="E48" s="10">
        <v>0.629</v>
      </c>
    </row>
    <row r="49" spans="1:8">
      <c r="A49" s="3">
        <v>7</v>
      </c>
      <c r="B49" s="3">
        <v>56</v>
      </c>
      <c r="C49" s="9">
        <v>2.25</v>
      </c>
      <c r="D49" s="10">
        <v>0.308</v>
      </c>
      <c r="E49" s="10">
        <v>0.266</v>
      </c>
    </row>
    <row r="50" spans="1:8">
      <c r="A50" s="3">
        <v>2</v>
      </c>
      <c r="B50" s="3">
        <v>57</v>
      </c>
      <c r="C50" s="9">
        <v>2</v>
      </c>
      <c r="D50" s="10">
        <v>0.08</v>
      </c>
      <c r="E50" s="10">
        <v>0.07</v>
      </c>
    </row>
    <row r="51" spans="1:8">
      <c r="A51" s="3">
        <v>18</v>
      </c>
      <c r="B51" s="3">
        <v>57</v>
      </c>
      <c r="C51" s="9">
        <v>2.25</v>
      </c>
      <c r="D51" s="10">
        <v>0.81</v>
      </c>
      <c r="E51" s="10">
        <v>0.72</v>
      </c>
    </row>
    <row r="52" spans="1:8">
      <c r="A52" s="3">
        <v>3</v>
      </c>
      <c r="B52" s="3">
        <v>58</v>
      </c>
      <c r="C52" s="9">
        <v>2</v>
      </c>
      <c r="D52" s="10">
        <v>0.126</v>
      </c>
      <c r="E52" s="10">
        <v>0.108</v>
      </c>
    </row>
    <row r="53" spans="1:8">
      <c r="A53" s="3">
        <v>10</v>
      </c>
      <c r="B53" s="3">
        <v>58</v>
      </c>
      <c r="C53" s="9">
        <v>2.25</v>
      </c>
      <c r="D53" s="10">
        <v>0.47</v>
      </c>
      <c r="E53" s="10">
        <v>0.41</v>
      </c>
    </row>
    <row r="54" spans="1:8">
      <c r="A54" s="3">
        <v>14</v>
      </c>
      <c r="B54" s="3">
        <v>59</v>
      </c>
      <c r="C54" s="9">
        <v>2.25</v>
      </c>
      <c r="D54" s="10">
        <v>0.672</v>
      </c>
      <c r="E54" s="10">
        <v>0.602</v>
      </c>
    </row>
    <row r="55" spans="1:8">
      <c r="A55" s="3">
        <v>1</v>
      </c>
      <c r="B55" s="3">
        <v>60</v>
      </c>
      <c r="C55" s="9">
        <v>2</v>
      </c>
      <c r="D55" s="10">
        <v>0.045</v>
      </c>
      <c r="E55" s="10">
        <v>0.039</v>
      </c>
    </row>
    <row r="56" spans="1:8">
      <c r="A56" s="3">
        <v>17</v>
      </c>
      <c r="B56" s="3">
        <v>60</v>
      </c>
      <c r="C56" s="9">
        <v>2.25</v>
      </c>
      <c r="D56" s="10">
        <v>0.85</v>
      </c>
      <c r="E56" s="10">
        <v>0.748</v>
      </c>
    </row>
    <row r="57" spans="1:8">
      <c r="A57" s="3">
        <v>13</v>
      </c>
      <c r="B57" s="3">
        <v>61</v>
      </c>
      <c r="C57" s="9">
        <v>2.25</v>
      </c>
      <c r="D57" s="10">
        <v>0.676</v>
      </c>
      <c r="E57" s="10">
        <v>0.598</v>
      </c>
    </row>
    <row r="58" spans="1:8">
      <c r="A58" s="3">
        <v>1</v>
      </c>
      <c r="B58" s="3">
        <v>62</v>
      </c>
      <c r="C58" s="9">
        <v>2</v>
      </c>
      <c r="D58" s="10">
        <v>0.048</v>
      </c>
      <c r="E58" s="10">
        <v>0.042</v>
      </c>
    </row>
    <row r="59" spans="1:8">
      <c r="A59" s="3">
        <v>9</v>
      </c>
      <c r="B59" s="3">
        <v>62</v>
      </c>
      <c r="C59" s="9">
        <v>2.25</v>
      </c>
      <c r="D59" s="10">
        <v>0.486</v>
      </c>
      <c r="E59" s="10">
        <v>0.423</v>
      </c>
    </row>
    <row r="60" spans="1:8">
      <c r="A60" s="3">
        <v>1</v>
      </c>
      <c r="B60" s="3">
        <v>63</v>
      </c>
      <c r="C60" s="9">
        <v>2</v>
      </c>
      <c r="D60" s="10">
        <v>0.049</v>
      </c>
      <c r="E60" s="10">
        <v>0.043</v>
      </c>
    </row>
    <row r="61" spans="1:8">
      <c r="A61" s="3">
        <v>14</v>
      </c>
      <c r="B61" s="3">
        <v>63</v>
      </c>
      <c r="C61" s="9">
        <v>2.25</v>
      </c>
      <c r="D61" s="10">
        <v>0.77</v>
      </c>
      <c r="E61" s="10">
        <v>0.686</v>
      </c>
    </row>
    <row r="62" spans="1:8">
      <c r="A62" s="3">
        <v>10</v>
      </c>
      <c r="B62" s="3">
        <v>64</v>
      </c>
      <c r="C62" s="9">
        <v>2.25</v>
      </c>
      <c r="D62" s="10">
        <v>0.57</v>
      </c>
      <c r="E62" s="10">
        <v>0.51</v>
      </c>
    </row>
    <row r="63" spans="1:8">
      <c r="A63" s="3">
        <v>1</v>
      </c>
      <c r="B63" s="3">
        <v>65</v>
      </c>
      <c r="C63" s="9">
        <v>2.25</v>
      </c>
      <c r="D63" s="10">
        <v>0.059</v>
      </c>
      <c r="E63" s="10">
        <v>0.052</v>
      </c>
    </row>
    <row r="64" spans="1:8">
      <c r="A64" s="3">
        <v>5</v>
      </c>
      <c r="B64" s="3">
        <v>66</v>
      </c>
      <c r="C64" s="9">
        <v>2.25</v>
      </c>
      <c r="D64" s="10">
        <v>0.305</v>
      </c>
      <c r="E64" s="10">
        <v>0.27</v>
      </c>
    </row>
    <row r="65" spans="1:8">
      <c r="A65" s="3">
        <v>4</v>
      </c>
      <c r="B65" s="3">
        <v>67</v>
      </c>
      <c r="C65" s="9">
        <v>2.25</v>
      </c>
      <c r="D65" s="10">
        <v>0.252</v>
      </c>
      <c r="E65" s="10">
        <v>0.224</v>
      </c>
    </row>
    <row r="66" spans="1:8">
      <c r="A66" s="3">
        <v>3</v>
      </c>
      <c r="B66" s="3">
        <v>68</v>
      </c>
      <c r="C66" s="9">
        <v>2.25</v>
      </c>
      <c r="D66" s="10">
        <v>0.195</v>
      </c>
      <c r="E66" s="10">
        <v>0.174</v>
      </c>
    </row>
    <row r="67" spans="1:8">
      <c r="A67" s="3">
        <v>1</v>
      </c>
      <c r="B67" s="3">
        <v>69</v>
      </c>
      <c r="C67" s="9">
        <v>1.8</v>
      </c>
      <c r="D67" s="10">
        <v>0.053</v>
      </c>
      <c r="E67" s="10">
        <v>0.047</v>
      </c>
    </row>
    <row r="68" spans="1:8">
      <c r="A68" s="3">
        <v>4</v>
      </c>
      <c r="B68" s="3">
        <v>69</v>
      </c>
      <c r="C68" s="9">
        <v>2.25</v>
      </c>
      <c r="D68" s="10">
        <v>0.264</v>
      </c>
      <c r="E68" s="10">
        <v>0.236</v>
      </c>
    </row>
    <row r="69" spans="1:8">
      <c r="A69" s="3">
        <v>2</v>
      </c>
      <c r="B69" s="3">
        <v>70</v>
      </c>
      <c r="C69" s="9">
        <v>2.25</v>
      </c>
      <c r="D69" s="10">
        <v>0.136</v>
      </c>
      <c r="E69" s="10">
        <v>0.122</v>
      </c>
    </row>
    <row r="70" spans="1:8">
      <c r="A70" s="3">
        <v>6</v>
      </c>
      <c r="B70" s="3">
        <v>71</v>
      </c>
      <c r="C70" s="9">
        <v>2.25</v>
      </c>
      <c r="D70" s="10">
        <v>0.42</v>
      </c>
      <c r="E70" s="10">
        <v>0.378</v>
      </c>
    </row>
    <row r="71" spans="1:8">
      <c r="A71" s="3">
        <v>2</v>
      </c>
      <c r="B71" s="3">
        <v>72</v>
      </c>
      <c r="C71" s="9">
        <v>2.25</v>
      </c>
      <c r="D71" s="10">
        <v>0.144</v>
      </c>
      <c r="E71" s="10">
        <v>0.13</v>
      </c>
    </row>
    <row r="72" spans="1:8">
      <c r="A72" s="3">
        <v>4</v>
      </c>
      <c r="B72" s="3">
        <v>73</v>
      </c>
      <c r="C72" s="9">
        <v>2.25</v>
      </c>
      <c r="D72" s="10">
        <v>0.296</v>
      </c>
      <c r="E72" s="10">
        <v>0.268</v>
      </c>
    </row>
    <row r="73" spans="1:8">
      <c r="A73" s="3">
        <v>4</v>
      </c>
      <c r="B73" s="3">
        <v>74</v>
      </c>
      <c r="C73" s="9">
        <v>2.25</v>
      </c>
      <c r="D73" s="10">
        <v>0.308</v>
      </c>
      <c r="E73" s="10">
        <v>0.276</v>
      </c>
    </row>
    <row r="74" spans="1:8">
      <c r="A74" s="3">
        <v>1</v>
      </c>
      <c r="B74" s="3">
        <v>75</v>
      </c>
      <c r="C74" s="9">
        <v>2</v>
      </c>
      <c r="D74" s="10">
        <v>0.07</v>
      </c>
      <c r="E74" s="10">
        <v>0.063</v>
      </c>
    </row>
    <row r="75" spans="1:8">
      <c r="A75" s="3">
        <v>1</v>
      </c>
      <c r="B75" s="3">
        <v>75</v>
      </c>
      <c r="C75" s="9">
        <v>2.25</v>
      </c>
      <c r="D75" s="10">
        <v>0.079</v>
      </c>
      <c r="E75" s="10">
        <v>0.071</v>
      </c>
    </row>
    <row r="76" spans="1:8">
      <c r="A76" s="3">
        <v>1</v>
      </c>
      <c r="B76" s="3">
        <v>77</v>
      </c>
      <c r="C76" s="9">
        <v>2.25</v>
      </c>
      <c r="D76" s="10">
        <v>0.083</v>
      </c>
      <c r="E76" s="10">
        <v>0.075</v>
      </c>
    </row>
    <row r="77" spans="1:8">
      <c r="A77" s="3">
        <v>1</v>
      </c>
      <c r="B77" s="3">
        <v>78</v>
      </c>
      <c r="C77" s="9">
        <v>2.25</v>
      </c>
      <c r="D77" s="10">
        <v>0.085</v>
      </c>
      <c r="E77" s="10">
        <v>0.077</v>
      </c>
    </row>
    <row r="78" spans="1:8">
      <c r="A78" s="3">
        <v>2</v>
      </c>
      <c r="B78" s="3">
        <v>79</v>
      </c>
      <c r="C78" s="9">
        <v>2.25</v>
      </c>
      <c r="D78" s="10">
        <v>0.174</v>
      </c>
      <c r="E78" s="10">
        <v>0.158</v>
      </c>
    </row>
    <row r="79" spans="1:8">
      <c r="A79" s="3">
        <v>1</v>
      </c>
      <c r="B79" s="3">
        <v>80</v>
      </c>
      <c r="C79" s="9">
        <v>2.25</v>
      </c>
      <c r="D79" s="10">
        <v>0.09</v>
      </c>
      <c r="E79" s="10">
        <v>0.081</v>
      </c>
    </row>
    <row r="80" spans="1:8">
      <c r="A80" s="3">
        <v>1</v>
      </c>
      <c r="B80" s="3">
        <v>81</v>
      </c>
      <c r="C80" s="9">
        <v>2.25</v>
      </c>
      <c r="D80" s="10">
        <v>0.092</v>
      </c>
      <c r="E80" s="10">
        <v>0.083</v>
      </c>
    </row>
    <row r="81" spans="1:8">
      <c r="A81" s="3">
        <v>1</v>
      </c>
      <c r="B81" s="3">
        <v>82</v>
      </c>
      <c r="C81" s="9">
        <v>2.25</v>
      </c>
      <c r="D81" s="10">
        <v>0.094</v>
      </c>
      <c r="E81" s="10">
        <v>0.085</v>
      </c>
    </row>
    <row r="82" spans="1:8">
      <c r="A82" s="3">
        <v>1</v>
      </c>
      <c r="B82" s="3">
        <v>83</v>
      </c>
      <c r="C82" s="9">
        <v>1.8</v>
      </c>
      <c r="D82" s="10">
        <v>0.077</v>
      </c>
      <c r="E82" s="10">
        <v>0.07</v>
      </c>
    </row>
    <row r="83" spans="1:8">
      <c r="A83" s="3">
        <v>1</v>
      </c>
      <c r="B83" s="3">
        <v>83</v>
      </c>
      <c r="C83" s="9">
        <v>2.25</v>
      </c>
      <c r="D83" s="10">
        <v>0.096</v>
      </c>
      <c r="E83" s="10">
        <v>0.088</v>
      </c>
    </row>
    <row r="84" spans="1:8">
      <c r="A84" s="3">
        <v>1</v>
      </c>
      <c r="B84" s="3">
        <v>84</v>
      </c>
      <c r="C84" s="9">
        <v>2.25</v>
      </c>
      <c r="D84" s="10">
        <v>0.099</v>
      </c>
      <c r="E84" s="10">
        <v>0.09</v>
      </c>
    </row>
    <row r="85" spans="1:8">
      <c r="A85" s="3">
        <v>1</v>
      </c>
      <c r="B85" s="3">
        <v>87</v>
      </c>
      <c r="C85" s="9">
        <v>2.25</v>
      </c>
      <c r="D85" s="10">
        <v>0.106</v>
      </c>
      <c r="E85" s="10">
        <v>0.097</v>
      </c>
    </row>
    <row r="86" spans="1:8">
      <c r="A86" s="3">
        <v>1</v>
      </c>
      <c r="B86" s="3">
        <v>98</v>
      </c>
      <c r="C86" s="9">
        <v>2.25</v>
      </c>
      <c r="D86" s="10">
        <v>0.135</v>
      </c>
      <c r="E86" s="10">
        <v>0.124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E15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H85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28.135986" bestFit="true" customWidth="true" style="0"/>
    <col min="2" max="2" width="17.567139" bestFit="true" customWidth="true" style="0"/>
    <col min="3" max="3" width="8.140869" bestFit="true" customWidth="true" style="0"/>
    <col min="4" max="4" width="21.137695" bestFit="true" customWidth="true" style="0"/>
    <col min="5" max="5" width="18.709717" bestFit="true" customWidth="true" style="0"/>
  </cols>
  <sheetData>
    <row r="2" spans="1:8">
      <c r="A2" s="2" t="s">
        <v>24</v>
      </c>
      <c r="B2" s="4" t="s">
        <v>36</v>
      </c>
    </row>
    <row r="3" spans="1:8">
      <c r="A3" s="2" t="s">
        <v>40</v>
      </c>
      <c r="B3" s="4" t="s">
        <v>33</v>
      </c>
    </row>
    <row r="4" spans="1:8">
      <c r="A4" s="2" t="s">
        <v>41</v>
      </c>
      <c r="B4" s="4" t="s">
        <v>42</v>
      </c>
    </row>
    <row r="5" spans="1:8">
      <c r="A5" s="2" t="s">
        <v>43</v>
      </c>
      <c r="B5" s="4"/>
    </row>
    <row r="6" spans="1:8">
      <c r="A6" s="2" t="s">
        <v>29</v>
      </c>
      <c r="B6" s="4" t="str">
        <f>SUM(A16:A85)</f>
        <v>0</v>
      </c>
    </row>
    <row r="7" spans="1:8">
      <c r="A7" s="2" t="s">
        <v>25</v>
      </c>
      <c r="B7" s="11" t="str">
        <f>ROUND(SUMPRODUCT(C16:C85,A16:A85)/B6,2)</f>
        <v>0</v>
      </c>
    </row>
    <row r="8" spans="1:8">
      <c r="A8" s="2" t="s">
        <v>26</v>
      </c>
      <c r="B8" s="4" t="str">
        <f>TRUNC(SUMPRODUCT(B16:B85,A16:A85)/B6,0)</f>
        <v>0</v>
      </c>
    </row>
    <row r="9" spans="1:8">
      <c r="A9" s="2" t="s">
        <v>44</v>
      </c>
      <c r="B9" s="4">
        <v>3</v>
      </c>
    </row>
    <row r="10" spans="1:8">
      <c r="A10" s="2" t="s">
        <v>45</v>
      </c>
      <c r="B10" s="4">
        <v>5</v>
      </c>
      <c r="H10" s="0"/>
    </row>
    <row r="11" spans="1:8">
      <c r="A11" s="2" t="s">
        <v>46</v>
      </c>
      <c r="B11" s="12" t="str">
        <f>SUM(D16:D85)</f>
        <v>0</v>
      </c>
    </row>
    <row r="12" spans="1:8">
      <c r="A12" s="2" t="s">
        <v>47</v>
      </c>
      <c r="B12" s="12" t="str">
        <f>SUM(E16:E85)</f>
        <v>0</v>
      </c>
    </row>
    <row r="13" spans="1:8">
      <c r="A13" s="2" t="s">
        <v>30</v>
      </c>
      <c r="B13" s="11" t="str">
        <f>ROUND(B11/B6*35.315,2)</f>
        <v>0</v>
      </c>
    </row>
    <row r="15" spans="1:8" customHeight="1" ht="30">
      <c r="A15" s="7" t="s">
        <v>48</v>
      </c>
      <c r="B15" s="7" t="s">
        <v>26</v>
      </c>
      <c r="C15" s="7" t="s">
        <v>25</v>
      </c>
      <c r="D15" s="8" t="s">
        <v>27</v>
      </c>
      <c r="E15" s="8" t="s">
        <v>28</v>
      </c>
    </row>
    <row r="16" spans="1:8">
      <c r="A16" s="3">
        <v>2</v>
      </c>
      <c r="B16" s="3">
        <v>25</v>
      </c>
      <c r="C16" s="9">
        <v>2</v>
      </c>
      <c r="D16" s="10">
        <v>0.014</v>
      </c>
      <c r="E16" s="10">
        <v>0.01</v>
      </c>
    </row>
    <row r="17" spans="1:8">
      <c r="A17" s="3">
        <v>8</v>
      </c>
      <c r="B17" s="3">
        <v>30</v>
      </c>
      <c r="C17" s="9">
        <v>2.25</v>
      </c>
      <c r="D17" s="10">
        <v>0.096</v>
      </c>
      <c r="E17" s="10">
        <v>0.08</v>
      </c>
    </row>
    <row r="18" spans="1:8">
      <c r="A18" s="3">
        <v>3</v>
      </c>
      <c r="B18" s="3">
        <v>31</v>
      </c>
      <c r="C18" s="9">
        <v>2.25</v>
      </c>
      <c r="D18" s="10">
        <v>0.039</v>
      </c>
      <c r="E18" s="10">
        <v>0.03</v>
      </c>
    </row>
    <row r="19" spans="1:8">
      <c r="A19" s="3">
        <v>6</v>
      </c>
      <c r="B19" s="3">
        <v>32</v>
      </c>
      <c r="C19" s="9">
        <v>2.25</v>
      </c>
      <c r="D19" s="10">
        <v>0.084</v>
      </c>
      <c r="E19" s="10">
        <v>0.066</v>
      </c>
    </row>
    <row r="20" spans="1:8">
      <c r="A20" s="3">
        <v>1</v>
      </c>
      <c r="B20" s="3">
        <v>33</v>
      </c>
      <c r="C20" s="9">
        <v>2</v>
      </c>
      <c r="D20" s="10">
        <v>0.013</v>
      </c>
      <c r="E20" s="10">
        <v>0.01</v>
      </c>
    </row>
    <row r="21" spans="1:8">
      <c r="A21" s="3">
        <v>10</v>
      </c>
      <c r="B21" s="3">
        <v>33</v>
      </c>
      <c r="C21" s="9">
        <v>2.25</v>
      </c>
      <c r="D21" s="10">
        <v>0.15</v>
      </c>
      <c r="E21" s="10">
        <v>0.12</v>
      </c>
    </row>
    <row r="22" spans="1:8">
      <c r="A22" s="3">
        <v>1</v>
      </c>
      <c r="B22" s="3">
        <v>34</v>
      </c>
      <c r="C22" s="9">
        <v>2</v>
      </c>
      <c r="D22" s="10">
        <v>0.014</v>
      </c>
      <c r="E22" s="10">
        <v>0.011</v>
      </c>
    </row>
    <row r="23" spans="1:8">
      <c r="A23" s="3">
        <v>11</v>
      </c>
      <c r="B23" s="3">
        <v>34</v>
      </c>
      <c r="C23" s="9">
        <v>2.25</v>
      </c>
      <c r="D23" s="10">
        <v>0.176</v>
      </c>
      <c r="E23" s="10">
        <v>0.143</v>
      </c>
    </row>
    <row r="24" spans="1:8">
      <c r="A24" s="3">
        <v>19</v>
      </c>
      <c r="B24" s="3">
        <v>35</v>
      </c>
      <c r="C24" s="9">
        <v>2.25</v>
      </c>
      <c r="D24" s="10">
        <v>0.323</v>
      </c>
      <c r="E24" s="10">
        <v>0.266</v>
      </c>
    </row>
    <row r="25" spans="1:8">
      <c r="A25" s="3">
        <v>1</v>
      </c>
      <c r="B25" s="3">
        <v>36</v>
      </c>
      <c r="C25" s="9">
        <v>2</v>
      </c>
      <c r="D25" s="10">
        <v>0.016</v>
      </c>
      <c r="E25" s="10">
        <v>0.013</v>
      </c>
    </row>
    <row r="26" spans="1:8">
      <c r="A26" s="3">
        <v>11</v>
      </c>
      <c r="B26" s="3">
        <v>36</v>
      </c>
      <c r="C26" s="9">
        <v>2.25</v>
      </c>
      <c r="D26" s="10">
        <v>0.198</v>
      </c>
      <c r="E26" s="10">
        <v>0.154</v>
      </c>
    </row>
    <row r="27" spans="1:8">
      <c r="A27" s="3">
        <v>3</v>
      </c>
      <c r="B27" s="3">
        <v>37</v>
      </c>
      <c r="C27" s="9">
        <v>2</v>
      </c>
      <c r="D27" s="10">
        <v>0.051</v>
      </c>
      <c r="E27" s="10">
        <v>0.042</v>
      </c>
    </row>
    <row r="28" spans="1:8">
      <c r="A28" s="3">
        <v>16</v>
      </c>
      <c r="B28" s="3">
        <v>37</v>
      </c>
      <c r="C28" s="9">
        <v>2.25</v>
      </c>
      <c r="D28" s="10">
        <v>0.304</v>
      </c>
      <c r="E28" s="10">
        <v>0.24</v>
      </c>
    </row>
    <row r="29" spans="1:8">
      <c r="A29" s="3">
        <v>3</v>
      </c>
      <c r="B29" s="3">
        <v>38</v>
      </c>
      <c r="C29" s="9">
        <v>2</v>
      </c>
      <c r="D29" s="10">
        <v>0.054</v>
      </c>
      <c r="E29" s="10">
        <v>0.042</v>
      </c>
    </row>
    <row r="30" spans="1:8">
      <c r="A30" s="3">
        <v>28</v>
      </c>
      <c r="B30" s="3">
        <v>38</v>
      </c>
      <c r="C30" s="9">
        <v>2.25</v>
      </c>
      <c r="D30" s="10">
        <v>0.56</v>
      </c>
      <c r="E30" s="10">
        <v>0.448</v>
      </c>
    </row>
    <row r="31" spans="1:8">
      <c r="A31" s="3">
        <v>1</v>
      </c>
      <c r="B31" s="3">
        <v>39</v>
      </c>
      <c r="C31" s="9">
        <v>2</v>
      </c>
      <c r="D31" s="10">
        <v>0.019</v>
      </c>
      <c r="E31" s="10">
        <v>0.015</v>
      </c>
    </row>
    <row r="32" spans="1:8">
      <c r="A32" s="3">
        <v>21</v>
      </c>
      <c r="B32" s="3">
        <v>39</v>
      </c>
      <c r="C32" s="9">
        <v>2.25</v>
      </c>
      <c r="D32" s="10">
        <v>0.441</v>
      </c>
      <c r="E32" s="10">
        <v>0.357</v>
      </c>
    </row>
    <row r="33" spans="1:8">
      <c r="A33" s="3">
        <v>8</v>
      </c>
      <c r="B33" s="3">
        <v>40</v>
      </c>
      <c r="C33" s="9">
        <v>2</v>
      </c>
      <c r="D33" s="10">
        <v>0.16</v>
      </c>
      <c r="E33" s="10">
        <v>0.128</v>
      </c>
    </row>
    <row r="34" spans="1:8">
      <c r="A34" s="3">
        <v>45</v>
      </c>
      <c r="B34" s="3">
        <v>40</v>
      </c>
      <c r="C34" s="9">
        <v>2.25</v>
      </c>
      <c r="D34" s="10">
        <v>0.99</v>
      </c>
      <c r="E34" s="10">
        <v>0.81</v>
      </c>
    </row>
    <row r="35" spans="1:8">
      <c r="A35" s="3">
        <v>3</v>
      </c>
      <c r="B35" s="3">
        <v>41</v>
      </c>
      <c r="C35" s="9">
        <v>2</v>
      </c>
      <c r="D35" s="10">
        <v>0.063</v>
      </c>
      <c r="E35" s="10">
        <v>0.051</v>
      </c>
    </row>
    <row r="36" spans="1:8">
      <c r="A36" s="3">
        <v>18</v>
      </c>
      <c r="B36" s="3">
        <v>41</v>
      </c>
      <c r="C36" s="9">
        <v>2.25</v>
      </c>
      <c r="D36" s="10">
        <v>0.414</v>
      </c>
      <c r="E36" s="10">
        <v>0.342</v>
      </c>
    </row>
    <row r="37" spans="1:8">
      <c r="A37" s="3">
        <v>6</v>
      </c>
      <c r="B37" s="3">
        <v>42</v>
      </c>
      <c r="C37" s="9">
        <v>2</v>
      </c>
      <c r="D37" s="10">
        <v>0.132</v>
      </c>
      <c r="E37" s="10">
        <v>0.108</v>
      </c>
    </row>
    <row r="38" spans="1:8">
      <c r="A38" s="3">
        <v>25</v>
      </c>
      <c r="B38" s="3">
        <v>42</v>
      </c>
      <c r="C38" s="9">
        <v>2.25</v>
      </c>
      <c r="D38" s="10">
        <v>0.6</v>
      </c>
      <c r="E38" s="10">
        <v>0.5</v>
      </c>
    </row>
    <row r="39" spans="1:8">
      <c r="A39" s="3">
        <v>6</v>
      </c>
      <c r="B39" s="3">
        <v>43</v>
      </c>
      <c r="C39" s="9">
        <v>2</v>
      </c>
      <c r="D39" s="10">
        <v>0.138</v>
      </c>
      <c r="E39" s="10">
        <v>0.114</v>
      </c>
    </row>
    <row r="40" spans="1:8">
      <c r="A40" s="3">
        <v>42</v>
      </c>
      <c r="B40" s="3">
        <v>43</v>
      </c>
      <c r="C40" s="9">
        <v>2.25</v>
      </c>
      <c r="D40" s="10">
        <v>1.092</v>
      </c>
      <c r="E40" s="10">
        <v>0.924</v>
      </c>
    </row>
    <row r="41" spans="1:8">
      <c r="A41" s="3">
        <v>5</v>
      </c>
      <c r="B41" s="3">
        <v>44</v>
      </c>
      <c r="C41" s="9">
        <v>2</v>
      </c>
      <c r="D41" s="10">
        <v>0.12</v>
      </c>
      <c r="E41" s="10">
        <v>0.1</v>
      </c>
    </row>
    <row r="42" spans="1:8">
      <c r="A42" s="3">
        <v>40</v>
      </c>
      <c r="B42" s="3">
        <v>44</v>
      </c>
      <c r="C42" s="9">
        <v>2.25</v>
      </c>
      <c r="D42" s="10">
        <v>1.08</v>
      </c>
      <c r="E42" s="10">
        <v>0.92</v>
      </c>
    </row>
    <row r="43" spans="1:8">
      <c r="A43" s="3">
        <v>3</v>
      </c>
      <c r="B43" s="3">
        <v>45</v>
      </c>
      <c r="C43" s="9">
        <v>2</v>
      </c>
      <c r="D43" s="10">
        <v>0.075</v>
      </c>
      <c r="E43" s="10">
        <v>0.063</v>
      </c>
    </row>
    <row r="44" spans="1:8">
      <c r="A44" s="3">
        <v>33</v>
      </c>
      <c r="B44" s="3">
        <v>45</v>
      </c>
      <c r="C44" s="9">
        <v>2.25</v>
      </c>
      <c r="D44" s="10">
        <v>0.924</v>
      </c>
      <c r="E44" s="10">
        <v>0.792</v>
      </c>
    </row>
    <row r="45" spans="1:8">
      <c r="A45" s="3">
        <v>4</v>
      </c>
      <c r="B45" s="3">
        <v>46</v>
      </c>
      <c r="C45" s="9">
        <v>2</v>
      </c>
      <c r="D45" s="10">
        <v>0.104</v>
      </c>
      <c r="E45" s="10">
        <v>0.088</v>
      </c>
    </row>
    <row r="46" spans="1:8">
      <c r="A46" s="3">
        <v>42</v>
      </c>
      <c r="B46" s="3">
        <v>46</v>
      </c>
      <c r="C46" s="9">
        <v>2.25</v>
      </c>
      <c r="D46" s="10">
        <v>1.218</v>
      </c>
      <c r="E46" s="10">
        <v>1.05</v>
      </c>
    </row>
    <row r="47" spans="1:8">
      <c r="A47" s="3">
        <v>4</v>
      </c>
      <c r="B47" s="3">
        <v>47</v>
      </c>
      <c r="C47" s="9">
        <v>2</v>
      </c>
      <c r="D47" s="10">
        <v>0.108</v>
      </c>
      <c r="E47" s="10">
        <v>0.092</v>
      </c>
    </row>
    <row r="48" spans="1:8">
      <c r="A48" s="3">
        <v>44</v>
      </c>
      <c r="B48" s="3">
        <v>47</v>
      </c>
      <c r="C48" s="9">
        <v>2.25</v>
      </c>
      <c r="D48" s="10">
        <v>1.364</v>
      </c>
      <c r="E48" s="10">
        <v>1.144</v>
      </c>
    </row>
    <row r="49" spans="1:8">
      <c r="A49" s="3">
        <v>7</v>
      </c>
      <c r="B49" s="3">
        <v>48</v>
      </c>
      <c r="C49" s="9">
        <v>2</v>
      </c>
      <c r="D49" s="10">
        <v>0.196</v>
      </c>
      <c r="E49" s="10">
        <v>0.168</v>
      </c>
    </row>
    <row r="50" spans="1:8">
      <c r="A50" s="3">
        <v>46</v>
      </c>
      <c r="B50" s="3">
        <v>48</v>
      </c>
      <c r="C50" s="9">
        <v>2.25</v>
      </c>
      <c r="D50" s="10">
        <v>1.472</v>
      </c>
      <c r="E50" s="10">
        <v>1.242</v>
      </c>
    </row>
    <row r="51" spans="1:8">
      <c r="A51" s="3">
        <v>2</v>
      </c>
      <c r="B51" s="3">
        <v>49</v>
      </c>
      <c r="C51" s="9">
        <v>2</v>
      </c>
      <c r="D51" s="10">
        <v>0.06</v>
      </c>
      <c r="E51" s="10">
        <v>0.05</v>
      </c>
    </row>
    <row r="52" spans="1:8">
      <c r="A52" s="3">
        <v>31</v>
      </c>
      <c r="B52" s="3">
        <v>49</v>
      </c>
      <c r="C52" s="9">
        <v>2.25</v>
      </c>
      <c r="D52" s="10">
        <v>1.023</v>
      </c>
      <c r="E52" s="10">
        <v>0.899</v>
      </c>
    </row>
    <row r="53" spans="1:8">
      <c r="A53" s="3">
        <v>9</v>
      </c>
      <c r="B53" s="3">
        <v>50</v>
      </c>
      <c r="C53" s="9">
        <v>2</v>
      </c>
      <c r="D53" s="10">
        <v>0.279</v>
      </c>
      <c r="E53" s="10">
        <v>0.234</v>
      </c>
    </row>
    <row r="54" spans="1:8">
      <c r="A54" s="3">
        <v>45</v>
      </c>
      <c r="B54" s="3">
        <v>50</v>
      </c>
      <c r="C54" s="9">
        <v>2.25</v>
      </c>
      <c r="D54" s="10">
        <v>1.575</v>
      </c>
      <c r="E54" s="10">
        <v>1.35</v>
      </c>
    </row>
    <row r="55" spans="1:8">
      <c r="A55" s="3">
        <v>29</v>
      </c>
      <c r="B55" s="3">
        <v>51</v>
      </c>
      <c r="C55" s="9">
        <v>2.25</v>
      </c>
      <c r="D55" s="10">
        <v>1.044</v>
      </c>
      <c r="E55" s="10">
        <v>0.899</v>
      </c>
    </row>
    <row r="56" spans="1:8">
      <c r="A56" s="3">
        <v>4</v>
      </c>
      <c r="B56" s="3">
        <v>52</v>
      </c>
      <c r="C56" s="9">
        <v>2</v>
      </c>
      <c r="D56" s="10">
        <v>0.132</v>
      </c>
      <c r="E56" s="10">
        <v>0.116</v>
      </c>
    </row>
    <row r="57" spans="1:8">
      <c r="A57" s="3">
        <v>31</v>
      </c>
      <c r="B57" s="3">
        <v>52</v>
      </c>
      <c r="C57" s="9">
        <v>2.25</v>
      </c>
      <c r="D57" s="10">
        <v>1.178</v>
      </c>
      <c r="E57" s="10">
        <v>1.023</v>
      </c>
    </row>
    <row r="58" spans="1:8">
      <c r="A58" s="3">
        <v>1</v>
      </c>
      <c r="B58" s="3">
        <v>53</v>
      </c>
      <c r="C58" s="9">
        <v>1.8</v>
      </c>
      <c r="D58" s="10">
        <v>0.031</v>
      </c>
      <c r="E58" s="10">
        <v>0.027</v>
      </c>
    </row>
    <row r="59" spans="1:8">
      <c r="A59" s="3">
        <v>25</v>
      </c>
      <c r="B59" s="3">
        <v>53</v>
      </c>
      <c r="C59" s="9">
        <v>2.25</v>
      </c>
      <c r="D59" s="10">
        <v>0.975</v>
      </c>
      <c r="E59" s="10">
        <v>0.85</v>
      </c>
    </row>
    <row r="60" spans="1:8">
      <c r="A60" s="3">
        <v>3</v>
      </c>
      <c r="B60" s="3">
        <v>54</v>
      </c>
      <c r="C60" s="9">
        <v>2</v>
      </c>
      <c r="D60" s="10">
        <v>0.108</v>
      </c>
      <c r="E60" s="10">
        <v>0.093</v>
      </c>
    </row>
    <row r="61" spans="1:8">
      <c r="A61" s="3">
        <v>15</v>
      </c>
      <c r="B61" s="3">
        <v>54</v>
      </c>
      <c r="C61" s="9">
        <v>2.25</v>
      </c>
      <c r="D61" s="10">
        <v>0.615</v>
      </c>
      <c r="E61" s="10">
        <v>0.525</v>
      </c>
    </row>
    <row r="62" spans="1:8">
      <c r="A62" s="3">
        <v>2</v>
      </c>
      <c r="B62" s="3">
        <v>55</v>
      </c>
      <c r="C62" s="9">
        <v>2</v>
      </c>
      <c r="D62" s="10">
        <v>0.074</v>
      </c>
      <c r="E62" s="10">
        <v>0.064</v>
      </c>
    </row>
    <row r="63" spans="1:8">
      <c r="A63" s="3">
        <v>9</v>
      </c>
      <c r="B63" s="3">
        <v>55</v>
      </c>
      <c r="C63" s="9">
        <v>2.25</v>
      </c>
      <c r="D63" s="10">
        <v>0.378</v>
      </c>
      <c r="E63" s="10">
        <v>0.333</v>
      </c>
    </row>
    <row r="64" spans="1:8">
      <c r="A64" s="3">
        <v>2</v>
      </c>
      <c r="B64" s="3">
        <v>56</v>
      </c>
      <c r="C64" s="9">
        <v>2</v>
      </c>
      <c r="D64" s="10">
        <v>0.078</v>
      </c>
      <c r="E64" s="10">
        <v>0.068</v>
      </c>
    </row>
    <row r="65" spans="1:8">
      <c r="A65" s="3">
        <v>6</v>
      </c>
      <c r="B65" s="3">
        <v>56</v>
      </c>
      <c r="C65" s="9">
        <v>2.25</v>
      </c>
      <c r="D65" s="10">
        <v>0.264</v>
      </c>
      <c r="E65" s="10">
        <v>0.228</v>
      </c>
    </row>
    <row r="66" spans="1:8">
      <c r="A66" s="3">
        <v>12</v>
      </c>
      <c r="B66" s="3">
        <v>57</v>
      </c>
      <c r="C66" s="9">
        <v>2.25</v>
      </c>
      <c r="D66" s="10">
        <v>0.54</v>
      </c>
      <c r="E66" s="10">
        <v>0.48</v>
      </c>
    </row>
    <row r="67" spans="1:8">
      <c r="A67" s="3">
        <v>1</v>
      </c>
      <c r="B67" s="3">
        <v>58</v>
      </c>
      <c r="C67" s="9">
        <v>2</v>
      </c>
      <c r="D67" s="10">
        <v>0.042</v>
      </c>
      <c r="E67" s="10">
        <v>0.036</v>
      </c>
    </row>
    <row r="68" spans="1:8">
      <c r="A68" s="3">
        <v>6</v>
      </c>
      <c r="B68" s="3">
        <v>58</v>
      </c>
      <c r="C68" s="9">
        <v>2.25</v>
      </c>
      <c r="D68" s="10">
        <v>0.282</v>
      </c>
      <c r="E68" s="10">
        <v>0.246</v>
      </c>
    </row>
    <row r="69" spans="1:8">
      <c r="A69" s="3">
        <v>6</v>
      </c>
      <c r="B69" s="3">
        <v>59</v>
      </c>
      <c r="C69" s="9">
        <v>2.25</v>
      </c>
      <c r="D69" s="10">
        <v>0.288</v>
      </c>
      <c r="E69" s="10">
        <v>0.258</v>
      </c>
    </row>
    <row r="70" spans="1:8">
      <c r="A70" s="3">
        <v>1</v>
      </c>
      <c r="B70" s="3">
        <v>60</v>
      </c>
      <c r="C70" s="9">
        <v>2</v>
      </c>
      <c r="D70" s="10">
        <v>0.045</v>
      </c>
      <c r="E70" s="10">
        <v>0.039</v>
      </c>
    </row>
    <row r="71" spans="1:8">
      <c r="A71" s="3">
        <v>6</v>
      </c>
      <c r="B71" s="3">
        <v>60</v>
      </c>
      <c r="C71" s="9">
        <v>2.25</v>
      </c>
      <c r="D71" s="10">
        <v>0.3</v>
      </c>
      <c r="E71" s="10">
        <v>0.264</v>
      </c>
    </row>
    <row r="72" spans="1:8">
      <c r="A72" s="3">
        <v>1</v>
      </c>
      <c r="B72" s="3">
        <v>61</v>
      </c>
      <c r="C72" s="9">
        <v>2</v>
      </c>
      <c r="D72" s="10">
        <v>0.046</v>
      </c>
      <c r="E72" s="10">
        <v>0.04</v>
      </c>
    </row>
    <row r="73" spans="1:8">
      <c r="A73" s="3">
        <v>2</v>
      </c>
      <c r="B73" s="3">
        <v>61</v>
      </c>
      <c r="C73" s="9">
        <v>2.25</v>
      </c>
      <c r="D73" s="10">
        <v>0.104</v>
      </c>
      <c r="E73" s="10">
        <v>0.092</v>
      </c>
    </row>
    <row r="74" spans="1:8">
      <c r="A74" s="3">
        <v>1</v>
      </c>
      <c r="B74" s="3">
        <v>62</v>
      </c>
      <c r="C74" s="9">
        <v>2</v>
      </c>
      <c r="D74" s="10">
        <v>0.048</v>
      </c>
      <c r="E74" s="10">
        <v>0.042</v>
      </c>
    </row>
    <row r="75" spans="1:8">
      <c r="A75" s="3">
        <v>2</v>
      </c>
      <c r="B75" s="3">
        <v>62</v>
      </c>
      <c r="C75" s="9">
        <v>2.25</v>
      </c>
      <c r="D75" s="10">
        <v>0.108</v>
      </c>
      <c r="E75" s="10">
        <v>0.094</v>
      </c>
    </row>
    <row r="76" spans="1:8">
      <c r="A76" s="3">
        <v>1</v>
      </c>
      <c r="B76" s="3">
        <v>63</v>
      </c>
      <c r="C76" s="9">
        <v>1.8</v>
      </c>
      <c r="D76" s="10">
        <v>0.044</v>
      </c>
      <c r="E76" s="10">
        <v>0.039</v>
      </c>
    </row>
    <row r="77" spans="1:8">
      <c r="A77" s="3">
        <v>3</v>
      </c>
      <c r="B77" s="3">
        <v>64</v>
      </c>
      <c r="C77" s="9">
        <v>2.25</v>
      </c>
      <c r="D77" s="10">
        <v>0.171</v>
      </c>
      <c r="E77" s="10">
        <v>0.153</v>
      </c>
    </row>
    <row r="78" spans="1:8">
      <c r="A78" s="3">
        <v>1</v>
      </c>
      <c r="B78" s="3">
        <v>65</v>
      </c>
      <c r="C78" s="9">
        <v>2.25</v>
      </c>
      <c r="D78" s="10">
        <v>0.059</v>
      </c>
      <c r="E78" s="10">
        <v>0.052</v>
      </c>
    </row>
    <row r="79" spans="1:8">
      <c r="A79" s="3">
        <v>1</v>
      </c>
      <c r="B79" s="3">
        <v>66</v>
      </c>
      <c r="C79" s="9">
        <v>2</v>
      </c>
      <c r="D79" s="10">
        <v>0.054</v>
      </c>
      <c r="E79" s="10">
        <v>0.048</v>
      </c>
    </row>
    <row r="80" spans="1:8">
      <c r="A80" s="3">
        <v>2</v>
      </c>
      <c r="B80" s="3">
        <v>66</v>
      </c>
      <c r="C80" s="9">
        <v>2.25</v>
      </c>
      <c r="D80" s="10">
        <v>0.122</v>
      </c>
      <c r="E80" s="10">
        <v>0.108</v>
      </c>
    </row>
    <row r="81" spans="1:8">
      <c r="A81" s="3">
        <v>3</v>
      </c>
      <c r="B81" s="3">
        <v>67</v>
      </c>
      <c r="C81" s="9">
        <v>2.25</v>
      </c>
      <c r="D81" s="10">
        <v>0.189</v>
      </c>
      <c r="E81" s="10">
        <v>0.168</v>
      </c>
    </row>
    <row r="82" spans="1:8">
      <c r="A82" s="3">
        <v>3</v>
      </c>
      <c r="B82" s="3">
        <v>70</v>
      </c>
      <c r="C82" s="9">
        <v>2</v>
      </c>
      <c r="D82" s="10">
        <v>0.183</v>
      </c>
      <c r="E82" s="10">
        <v>0.162</v>
      </c>
    </row>
    <row r="83" spans="1:8">
      <c r="A83" s="3">
        <v>1</v>
      </c>
      <c r="B83" s="3">
        <v>75</v>
      </c>
      <c r="C83" s="9">
        <v>2.25</v>
      </c>
      <c r="D83" s="10">
        <v>0.079</v>
      </c>
      <c r="E83" s="10">
        <v>0.071</v>
      </c>
    </row>
    <row r="84" spans="1:8">
      <c r="A84" s="3">
        <v>1</v>
      </c>
      <c r="B84" s="3">
        <v>77</v>
      </c>
      <c r="C84" s="9">
        <v>2</v>
      </c>
      <c r="D84" s="10">
        <v>0.074</v>
      </c>
      <c r="E84" s="10">
        <v>0.066</v>
      </c>
    </row>
    <row r="85" spans="1:8">
      <c r="A85" s="3">
        <v>1</v>
      </c>
      <c r="B85" s="3">
        <v>89</v>
      </c>
      <c r="C85" s="9">
        <v>2.25</v>
      </c>
      <c r="D85" s="10">
        <v>0.111</v>
      </c>
      <c r="E85" s="10">
        <v>0.101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E15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TRLU7516207</vt:lpstr>
      <vt:lpstr>DFSU7596805L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2026-02-13T17:11:37+01:00</dcterms:created>
  <dcterms:modified xsi:type="dcterms:W3CDTF">2026-02-13T17:11:37+01:00</dcterms:modified>
  <dc:title>Untitled Spreadsheet</dc:title>
  <dc:description/>
  <dc:subject/>
  <cp:keywords/>
  <cp:category/>
</cp:coreProperties>
</file>