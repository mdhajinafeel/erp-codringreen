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  <sheet name="Extraction Cost" sheetId="2" r:id="rId5"/>
    <sheet name="Maintenance Cost" sheetId="3" r:id="rId6"/>
    <sheet name="Machine Rental Cost" sheetId="4" r:id="rId7"/>
    <sheet name="Labour Cost" sheetId="5" r:id="rId8"/>
    <sheet name="ACPM Cost" sheetId="6" r:id="rId9"/>
    <sheet name="Lubricants Cost" sheetId="7" r:id="rId10"/>
    <sheet name="Miscellaneous" sheetId="8" r:id="rId11"/>
    <sheet name="Inventory" sheetId="9" r:id="rId12"/>
  </sheets>
  <definedNames>
    <definedName name="_xlnm._FilterDatabase" localSheetId="0" hidden="1">'Report'!$A$4:$S$40</definedName>
    <definedName name="_xlnm._FilterDatabase" localSheetId="1" hidden="1">'Extraction Cost'!$A$4:$L$131</definedName>
    <definedName name="_xlnm._FilterDatabase" localSheetId="2" hidden="1">'Maintenance Cost'!$A$4:$J$13</definedName>
    <definedName name="_xlnm._FilterDatabase" localSheetId="3" hidden="1">'Machine Rental Cost'!$A$4:$J$13</definedName>
    <definedName name="_xlnm._FilterDatabase" localSheetId="4" hidden="1">'Labour Cost'!$A$4:$J$13</definedName>
    <definedName name="_xlnm._FilterDatabase" localSheetId="5" hidden="1">'ACPM Cost'!$A$4:$M$30</definedName>
    <definedName name="_xlnm._FilterDatabase" localSheetId="6" hidden="1">'Lubricants Cost'!$A$4:$M$28</definedName>
    <definedName name="_xlnm._FilterDatabase" localSheetId="7" hidden="1">'Miscellaneous'!$A$4:$M$5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<sst xmlns="http://schemas.openxmlformats.org/spreadsheetml/2006/main" uniqueCount="77">
  <si>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DATE</t>
  </si>
  <si>
    <t>ICA #</t>
  </si>
  <si>
    <t>SUPPLIER NAME</t>
  </si>
  <si>
    <t>PURCHASE CONTRACT</t>
  </si>
  <si>
    <t>DESCRIPTION</t>
  </si>
  <si>
    <t>PIECES</t>
  </si>
  <si>
    <t>VOLUME (M³)</t>
  </si>
  <si>
    <t>EXTRACTION</t>
  </si>
  <si>
    <t>VALUE OF WOOD</t>
  </si>
  <si>
    <t>TRANSPORT</t>
  </si>
  <si>
    <t>ZONA</t>
  </si>
  <si>
    <t>LOADING</t>
  </si>
  <si>
    <t>MACHINE MAINTENANCE</t>
  </si>
  <si>
    <t>MACHINE RENTAL</t>
  </si>
  <si>
    <t>MANUAL LABOURS</t>
  </si>
  <si>
    <t>FUEL (ACPM)</t>
  </si>
  <si>
    <t>LUBRICANTS</t>
  </si>
  <si>
    <t>MISCELLANEOUS</t>
  </si>
  <si>
    <t>TOTAL VALUE</t>
  </si>
  <si>
    <t>024-1626036</t>
  </si>
  <si>
    <t>JAEM COLOMBIA SAS</t>
  </si>
  <si>
    <t>COL/CGR/2025/0000000094</t>
  </si>
  <si>
    <t>ISABELITA</t>
  </si>
  <si>
    <t>024-1626037</t>
  </si>
  <si>
    <t>024-1626038</t>
  </si>
  <si>
    <t>024-1626040</t>
  </si>
  <si>
    <t>024-1626039</t>
  </si>
  <si>
    <t>024-1626041</t>
  </si>
  <si>
    <t>024-1626042</t>
  </si>
  <si>
    <t>024-1626043</t>
  </si>
  <si>
    <t>024-1626044</t>
  </si>
  <si>
    <t>024-1626045</t>
  </si>
  <si>
    <t>024-1626048</t>
  </si>
  <si>
    <t>024-1626049</t>
  </si>
  <si>
    <t>024-1626050</t>
  </si>
  <si>
    <t>024-1626051</t>
  </si>
  <si>
    <t>024-1626052</t>
  </si>
  <si>
    <t>024-1626055</t>
  </si>
  <si>
    <t>024-1626056</t>
  </si>
  <si>
    <t>024-1626053</t>
  </si>
  <si>
    <t>024-1626057</t>
  </si>
  <si>
    <t>024-1626060</t>
  </si>
  <si>
    <t>024-1626061</t>
  </si>
  <si>
    <t>024-1626062</t>
  </si>
  <si>
    <t>024-1626063</t>
  </si>
  <si>
    <t>024-1626071</t>
  </si>
  <si>
    <t>024-1646055</t>
  </si>
  <si>
    <t>024-1646056</t>
  </si>
  <si>
    <t>024-1676066</t>
  </si>
  <si>
    <t>024-1626067</t>
  </si>
  <si>
    <t>024-1626068</t>
  </si>
  <si>
    <t>024-1626070</t>
  </si>
  <si>
    <t>024-1646057</t>
  </si>
  <si>
    <t>024-1646058</t>
  </si>
  <si>
    <t>024-1626065</t>
  </si>
  <si>
    <t>024-1626064</t>
  </si>
  <si>
    <t>024-1626066</t>
  </si>
  <si>
    <t>024-1626069</t>
  </si>
  <si>
    <t>FROM DATE</t>
  </si>
  <si>
    <t>TO DATE</t>
  </si>
  <si>
    <t>TOTAL TREES</t>
  </si>
  <si>
    <t>EXTRACTION COST</t>
  </si>
  <si>
    <t>VALUE / TREE</t>
  </si>
  <si>
    <t>VALUE / PIECE</t>
  </si>
  <si>
    <t>VALUE / VOLUME</t>
  </si>
  <si>
    <t>START DATE</t>
  </si>
  <si>
    <t>END DATE</t>
  </si>
  <si>
    <t>AMOUNT</t>
  </si>
  <si>
    <t>QUANTITY</t>
  </si>
  <si>
    <t>TOTAL COST</t>
  </si>
  <si>
    <t>TOTAL ICAS</t>
  </si>
  <si>
    <t>VALUE / ICA</t>
  </si>
  <si>
    <t>EXTRACTED</t>
  </si>
  <si>
    <t>LOADED</t>
  </si>
  <si>
    <t>REMAINING</t>
  </si>
  <si>
    <t>TOTAL PIECES</t>
  </si>
  <si>
    <t>TOTAL VOLUME (M³)</t>
  </si>
</sst>
</file>

<file path=xl/styles.xml><?xml version="1.0" encoding="utf-8"?>
<styleSheet xmlns="http://schemas.openxmlformats.org/spreadsheetml/2006/main" xml:space="preserve">
  <numFmts count="6">
    <numFmt numFmtId="164" formatCode="_(* #,##0_);_(* (#,##0);_(* &quot;-&quot;??_);_(@_)"/>
    <numFmt numFmtId="165" formatCode="_(* #,##0.000_);_(* (#,##0.000);_(* &quot;-&quot;??_);_(@_)"/>
    <numFmt numFmtId="166" formatCode="_($* #,##0.00_);_($* (#,##0.00);_($* &quot;-&quot;??_);_(@_)"/>
    <numFmt numFmtId="167" formatCode="dd/mm/yyyy"/>
    <numFmt numFmtId="168" formatCode="_ * #,##0_ ;_ * -#,##0_ ;_ * &quot;-&quot;_ ;_ @_ "/>
    <numFmt numFmtId="169" formatCode="_(* #,##0.00_);_(* (#,##0.00);_(* &quot;-&quot;??_);_(@_)"/>
  </numFmts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0">
      <alignment horizontal="general" vertical="bottom" textRotation="0" wrapText="false" shrinkToFit="false"/>
    </xf>
    <xf xfId="0" fontId="1" numFmtId="165" fillId="0" borderId="1" applyFont="1" applyNumberFormat="1" applyFill="0" applyBorder="1" applyAlignment="0">
      <alignment horizontal="general" vertical="bottom" textRotation="0" wrapText="false" shrinkToFit="false"/>
    </xf>
    <xf xfId="0" fontId="1" numFmtId="166" fillId="0" borderId="1" applyFont="1" applyNumberFormat="1" applyFill="0" applyBorder="1" applyAlignment="0">
      <alignment horizontal="general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166" fillId="0" borderId="1" applyFont="0" applyNumberFormat="1" applyFill="0" applyBorder="1" applyAlignment="0">
      <alignment horizontal="general" vertical="bottom" textRotation="0" wrapText="false" shrinkToFit="false"/>
    </xf>
    <xf xfId="0" fontId="0" numFmtId="167" fillId="0" borderId="1" applyFont="0" applyNumberFormat="1" applyFill="0" applyBorder="1" applyAlignment="0">
      <alignment horizontal="general" vertical="bottom" textRotation="0" wrapText="false" shrinkToFit="false"/>
    </xf>
    <xf xfId="0" fontId="0" numFmtId="168" fillId="0" borderId="1" applyFont="0" applyNumberFormat="1" applyFill="0" applyBorder="1" applyAlignment="0">
      <alignment horizontal="general" vertical="bottom" textRotation="0" wrapText="false" shrinkToFit="false"/>
    </xf>
    <xf xfId="0" fontId="0" numFmtId="169" fillId="0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S40"/>
  <sheetViews>
    <sheetView tabSelected="1" workbookViewId="0" zoomScale="95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30" customWidth="true" style="0"/>
    <col min="5" max="5" width="30" customWidth="true" style="0"/>
    <col min="6" max="6" width="20" customWidth="true" style="0"/>
    <col min="7" max="7" width="20" customWidth="true" style="0"/>
    <col min="8" max="8" width="20" customWidth="true" style="0"/>
    <col min="9" max="9" width="25" customWidth="true" style="0"/>
    <col min="10" max="10" width="20" customWidth="true" style="0"/>
    <col min="11" max="11" width="20" customWidth="true" style="0"/>
    <col min="12" max="12" width="20" customWidth="true" style="0"/>
    <col min="13" max="13" width="25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</cols>
  <sheetData>
    <row r="3" spans="1:19">
      <c r="F3" s="4" t="str">
        <f>SUBTOTAL(9,F5:F40)</f>
        <v>0</v>
      </c>
      <c r="G3" s="5" t="str">
        <f>SUBTOTAL(9,G5:G40)</f>
        <v>0</v>
      </c>
      <c r="I3" s="6" t="str">
        <f>SUBTOTAL(9,I5:I40)</f>
        <v>0</v>
      </c>
    </row>
    <row r="4" spans="1:19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</row>
    <row r="5" spans="1:19">
      <c r="A5" s="10">
        <v>45904</v>
      </c>
      <c r="B5" s="2" t="s">
        <v>19</v>
      </c>
      <c r="C5" s="2" t="s">
        <v>20</v>
      </c>
      <c r="D5" s="2" t="s">
        <v>21</v>
      </c>
      <c r="E5" s="2" t="s">
        <v>22</v>
      </c>
      <c r="F5" s="7">
        <v>154</v>
      </c>
      <c r="G5" s="8">
        <v>20.281</v>
      </c>
      <c r="H5" s="9" t="str">
        <f>IFERROR( INDEX('Extraction Cost'!$L$5:$L$10000, MATCH(1, INDEX( (A5&gt;='Extraction Cost'!$A$5:$A$10000) * (A5&lt;='Extraction Cost'!$B$5:$B$10000), 0), 0) ) * G5, 0)</f>
        <v>0</v>
      </c>
      <c r="I5" s="9">
        <v>9006435</v>
      </c>
      <c r="J5" s="9">
        <v>400000</v>
      </c>
      <c r="K5" s="9">
        <v>3100000</v>
      </c>
      <c r="L5" s="9">
        <v>0</v>
      </c>
      <c r="M5" s="9" t="str">
        <f>IFERROR( INDEX('Maintenance Cost'!$J$5:$J$10000, MATCH(1, INDEX( (A5&gt;='Maintenance Cost'!$A$5:$A$10000) * (A5&lt;='Maintenance Cost'!$B$5:$B$10000), 0), 0) ) * G5, 0)</f>
        <v>0</v>
      </c>
      <c r="N5" s="9" t="str">
        <f>IFERROR( INDEX('Machine Rental Cost'!$J$5:$J$10000, MATCH(1, INDEX( (A5&gt;='Machine Rental Cost'!$A$5:$A$10000) * (A5&lt;='Machine Rental Cost'!$B$5:$B$10000), 0), 0) ) * G5, 0)</f>
        <v>0</v>
      </c>
      <c r="O5" s="9" t="str">
        <f>IFERROR( INDEX('Labour Cost'!$J$5:$J$10000, MATCH(1, INDEX( (A5&gt;='Labour Cost'!$A$5:$A$10000) * (A5&lt;='Labour Cost'!$B$5:$B$10000), 0), 0) ) * G5, 0)</f>
        <v>0</v>
      </c>
      <c r="P5" s="9" t="str">
        <f>IFERROR( INDEX('ACPM Cost'!$L$5:$L$10000, MATCH(1, INDEX( (A5&gt;='ACPM Cost'!$A$5:$A$10000) * (A5&lt;='ACPM Cost'!$B$5:$B$10000), 0), 0) ) * G5, 0)</f>
        <v>0</v>
      </c>
      <c r="Q5" s="9" t="str">
        <f>IFERROR( INDEX('Lubricants Cost'!$L$5:$L$10000, MATCH(1, INDEX( (A5&gt;='Lubricants Cost'!$A$5:$A$10000) * (A5&lt;='Lubricants Cost'!$B$5:$B$10000), 0), 0) ) * G5, 0)</f>
        <v>0</v>
      </c>
      <c r="R5" s="9" t="str">
        <f>IFERROR( INDEX('Miscellaneous'!$L$5:$L$10000, MATCH(1, INDEX( (A5&gt;='Miscellaneous'!$A$5:$A$10000) * (A5&lt;='Miscellaneous'!$B$5:$B$10000), 0), 0) ) * G5, 0)</f>
        <v>0</v>
      </c>
      <c r="S5" s="9" t="str">
        <f>SUM(H5:R5)</f>
        <v>0</v>
      </c>
    </row>
    <row r="6" spans="1:19">
      <c r="A6" s="10">
        <v>45908</v>
      </c>
      <c r="B6" s="2" t="s">
        <v>23</v>
      </c>
      <c r="C6" s="2" t="s">
        <v>20</v>
      </c>
      <c r="D6" s="2" t="s">
        <v>21</v>
      </c>
      <c r="E6" s="2" t="s">
        <v>22</v>
      </c>
      <c r="F6" s="7">
        <v>261</v>
      </c>
      <c r="G6" s="8">
        <v>21.971</v>
      </c>
      <c r="H6" s="9" t="str">
        <f>IFERROR( INDEX('Extraction Cost'!$L$5:$L$10000, MATCH(1, INDEX( (A6&gt;='Extraction Cost'!$A$5:$A$10000) * (A6&lt;='Extraction Cost'!$B$5:$B$10000), 0), 0) ) * G6, 0)</f>
        <v>0</v>
      </c>
      <c r="I6" s="9">
        <v>8912115</v>
      </c>
      <c r="J6" s="9">
        <v>400000</v>
      </c>
      <c r="K6" s="9">
        <v>3100000</v>
      </c>
      <c r="L6" s="9">
        <v>0</v>
      </c>
      <c r="M6" s="9" t="str">
        <f>IFERROR( INDEX('Maintenance Cost'!$J$5:$J$10000, MATCH(1, INDEX( (A6&gt;='Maintenance Cost'!$A$5:$A$10000) * (A6&lt;='Maintenance Cost'!$B$5:$B$10000), 0), 0) ) * G6, 0)</f>
        <v>0</v>
      </c>
      <c r="N6" s="9" t="str">
        <f>IFERROR( INDEX('Machine Rental Cost'!$J$5:$J$10000, MATCH(1, INDEX( (A6&gt;='Machine Rental Cost'!$A$5:$A$10000) * (A6&lt;='Machine Rental Cost'!$B$5:$B$10000), 0), 0) ) * G6, 0)</f>
        <v>0</v>
      </c>
      <c r="O6" s="9" t="str">
        <f>IFERROR( INDEX('Labour Cost'!$J$5:$J$10000, MATCH(1, INDEX( (A6&gt;='Labour Cost'!$A$5:$A$10000) * (A6&lt;='Labour Cost'!$B$5:$B$10000), 0), 0) ) * G6, 0)</f>
        <v>0</v>
      </c>
      <c r="P6" s="9" t="str">
        <f>IFERROR( INDEX('ACPM Cost'!$L$5:$L$10000, MATCH(1, INDEX( (A6&gt;='ACPM Cost'!$A$5:$A$10000) * (A6&lt;='ACPM Cost'!$B$5:$B$10000), 0), 0) ) * G6, 0)</f>
        <v>0</v>
      </c>
      <c r="Q6" s="9" t="str">
        <f>IFERROR( INDEX('Lubricants Cost'!$L$5:$L$10000, MATCH(1, INDEX( (A6&gt;='Lubricants Cost'!$A$5:$A$10000) * (A6&lt;='Lubricants Cost'!$B$5:$B$10000), 0), 0) ) * G6, 0)</f>
        <v>0</v>
      </c>
      <c r="R6" s="9" t="str">
        <f>IFERROR( INDEX('Miscellaneous'!$L$5:$L$10000, MATCH(1, INDEX( (A6&gt;='Miscellaneous'!$A$5:$A$10000) * (A6&lt;='Miscellaneous'!$B$5:$B$10000), 0), 0) ) * G6, 0)</f>
        <v>0</v>
      </c>
      <c r="S6" s="9" t="str">
        <f>SUM(H6:R6)</f>
        <v>0</v>
      </c>
    </row>
    <row r="7" spans="1:19">
      <c r="A7" s="10">
        <v>45910</v>
      </c>
      <c r="B7" s="2" t="s">
        <v>24</v>
      </c>
      <c r="C7" s="2" t="s">
        <v>20</v>
      </c>
      <c r="D7" s="2" t="s">
        <v>21</v>
      </c>
      <c r="E7" s="2" t="s">
        <v>22</v>
      </c>
      <c r="F7" s="7">
        <v>249</v>
      </c>
      <c r="G7" s="8">
        <v>22.345</v>
      </c>
      <c r="H7" s="9" t="str">
        <f>IFERROR( INDEX('Extraction Cost'!$L$5:$L$10000, MATCH(1, INDEX( (A7&gt;='Extraction Cost'!$A$5:$A$10000) * (A7&lt;='Extraction Cost'!$B$5:$B$10000), 0), 0) ) * G7, 0)</f>
        <v>0</v>
      </c>
      <c r="I7" s="9">
        <v>8818042.5</v>
      </c>
      <c r="J7" s="9">
        <v>400000</v>
      </c>
      <c r="K7" s="9">
        <v>3300000</v>
      </c>
      <c r="L7" s="9">
        <v>0</v>
      </c>
      <c r="M7" s="9" t="str">
        <f>IFERROR( INDEX('Maintenance Cost'!$J$5:$J$10000, MATCH(1, INDEX( (A7&gt;='Maintenance Cost'!$A$5:$A$10000) * (A7&lt;='Maintenance Cost'!$B$5:$B$10000), 0), 0) ) * G7, 0)</f>
        <v>0</v>
      </c>
      <c r="N7" s="9" t="str">
        <f>IFERROR( INDEX('Machine Rental Cost'!$J$5:$J$10000, MATCH(1, INDEX( (A7&gt;='Machine Rental Cost'!$A$5:$A$10000) * (A7&lt;='Machine Rental Cost'!$B$5:$B$10000), 0), 0) ) * G7, 0)</f>
        <v>0</v>
      </c>
      <c r="O7" s="9" t="str">
        <f>IFERROR( INDEX('Labour Cost'!$J$5:$J$10000, MATCH(1, INDEX( (A7&gt;='Labour Cost'!$A$5:$A$10000) * (A7&lt;='Labour Cost'!$B$5:$B$10000), 0), 0) ) * G7, 0)</f>
        <v>0</v>
      </c>
      <c r="P7" s="9" t="str">
        <f>IFERROR( INDEX('ACPM Cost'!$L$5:$L$10000, MATCH(1, INDEX( (A7&gt;='ACPM Cost'!$A$5:$A$10000) * (A7&lt;='ACPM Cost'!$B$5:$B$10000), 0), 0) ) * G7, 0)</f>
        <v>0</v>
      </c>
      <c r="Q7" s="9" t="str">
        <f>IFERROR( INDEX('Lubricants Cost'!$L$5:$L$10000, MATCH(1, INDEX( (A7&gt;='Lubricants Cost'!$A$5:$A$10000) * (A7&lt;='Lubricants Cost'!$B$5:$B$10000), 0), 0) ) * G7, 0)</f>
        <v>0</v>
      </c>
      <c r="R7" s="9" t="str">
        <f>IFERROR( INDEX('Miscellaneous'!$L$5:$L$10000, MATCH(1, INDEX( (A7&gt;='Miscellaneous'!$A$5:$A$10000) * (A7&lt;='Miscellaneous'!$B$5:$B$10000), 0), 0) ) * G7, 0)</f>
        <v>0</v>
      </c>
      <c r="S7" s="9" t="str">
        <f>SUM(H7:R7)</f>
        <v>0</v>
      </c>
    </row>
    <row r="8" spans="1:19">
      <c r="A8" s="10">
        <v>45912</v>
      </c>
      <c r="B8" s="2" t="s">
        <v>25</v>
      </c>
      <c r="C8" s="2" t="s">
        <v>20</v>
      </c>
      <c r="D8" s="2" t="s">
        <v>21</v>
      </c>
      <c r="E8" s="2" t="s">
        <v>22</v>
      </c>
      <c r="F8" s="7">
        <v>296</v>
      </c>
      <c r="G8" s="8">
        <v>18.212</v>
      </c>
      <c r="H8" s="9" t="str">
        <f>IFERROR( INDEX('Extraction Cost'!$L$5:$L$10000, MATCH(1, INDEX( (A8&gt;='Extraction Cost'!$A$5:$A$10000) * (A8&lt;='Extraction Cost'!$B$5:$B$10000), 0), 0) ) * G8, 0)</f>
        <v>0</v>
      </c>
      <c r="I8" s="9">
        <v>8782155</v>
      </c>
      <c r="J8" s="9">
        <v>400000</v>
      </c>
      <c r="K8" s="9">
        <v>900000</v>
      </c>
      <c r="L8" s="9">
        <v>0</v>
      </c>
      <c r="M8" s="9" t="str">
        <f>IFERROR( INDEX('Maintenance Cost'!$J$5:$J$10000, MATCH(1, INDEX( (A8&gt;='Maintenance Cost'!$A$5:$A$10000) * (A8&lt;='Maintenance Cost'!$B$5:$B$10000), 0), 0) ) * G8, 0)</f>
        <v>0</v>
      </c>
      <c r="N8" s="9" t="str">
        <f>IFERROR( INDEX('Machine Rental Cost'!$J$5:$J$10000, MATCH(1, INDEX( (A8&gt;='Machine Rental Cost'!$A$5:$A$10000) * (A8&lt;='Machine Rental Cost'!$B$5:$B$10000), 0), 0) ) * G8, 0)</f>
        <v>0</v>
      </c>
      <c r="O8" s="9" t="str">
        <f>IFERROR( INDEX('Labour Cost'!$J$5:$J$10000, MATCH(1, INDEX( (A8&gt;='Labour Cost'!$A$5:$A$10000) * (A8&lt;='Labour Cost'!$B$5:$B$10000), 0), 0) ) * G8, 0)</f>
        <v>0</v>
      </c>
      <c r="P8" s="9" t="str">
        <f>IFERROR( INDEX('ACPM Cost'!$L$5:$L$10000, MATCH(1, INDEX( (A8&gt;='ACPM Cost'!$A$5:$A$10000) * (A8&lt;='ACPM Cost'!$B$5:$B$10000), 0), 0) ) * G8, 0)</f>
        <v>0</v>
      </c>
      <c r="Q8" s="9" t="str">
        <f>IFERROR( INDEX('Lubricants Cost'!$L$5:$L$10000, MATCH(1, INDEX( (A8&gt;='Lubricants Cost'!$A$5:$A$10000) * (A8&lt;='Lubricants Cost'!$B$5:$B$10000), 0), 0) ) * G8, 0)</f>
        <v>0</v>
      </c>
      <c r="R8" s="9" t="str">
        <f>IFERROR( INDEX('Miscellaneous'!$L$5:$L$10000, MATCH(1, INDEX( (A8&gt;='Miscellaneous'!$A$5:$A$10000) * (A8&lt;='Miscellaneous'!$B$5:$B$10000), 0), 0) ) * G8, 0)</f>
        <v>0</v>
      </c>
      <c r="S8" s="9" t="str">
        <f>SUM(H8:R8)</f>
        <v>0</v>
      </c>
    </row>
    <row r="9" spans="1:19">
      <c r="A9" s="10">
        <v>45912</v>
      </c>
      <c r="B9" s="2" t="s">
        <v>26</v>
      </c>
      <c r="C9" s="2" t="s">
        <v>20</v>
      </c>
      <c r="D9" s="2" t="s">
        <v>21</v>
      </c>
      <c r="E9" s="2" t="s">
        <v>22</v>
      </c>
      <c r="F9" s="7">
        <v>366</v>
      </c>
      <c r="G9" s="8">
        <v>20.272</v>
      </c>
      <c r="H9" s="9" t="str">
        <f>IFERROR( INDEX('Extraction Cost'!$L$5:$L$10000, MATCH(1, INDEX( (A9&gt;='Extraction Cost'!$A$5:$A$10000) * (A9&lt;='Extraction Cost'!$B$5:$B$10000), 0), 0) ) * G9, 0)</f>
        <v>0</v>
      </c>
      <c r="I9" s="9">
        <v>8782155</v>
      </c>
      <c r="J9" s="9">
        <v>400000</v>
      </c>
      <c r="K9" s="9">
        <v>900000</v>
      </c>
      <c r="L9" s="9">
        <v>0</v>
      </c>
      <c r="M9" s="9" t="str">
        <f>IFERROR( INDEX('Maintenance Cost'!$J$5:$J$10000, MATCH(1, INDEX( (A9&gt;='Maintenance Cost'!$A$5:$A$10000) * (A9&lt;='Maintenance Cost'!$B$5:$B$10000), 0), 0) ) * G9, 0)</f>
        <v>0</v>
      </c>
      <c r="N9" s="9" t="str">
        <f>IFERROR( INDEX('Machine Rental Cost'!$J$5:$J$10000, MATCH(1, INDEX( (A9&gt;='Machine Rental Cost'!$A$5:$A$10000) * (A9&lt;='Machine Rental Cost'!$B$5:$B$10000), 0), 0) ) * G9, 0)</f>
        <v>0</v>
      </c>
      <c r="O9" s="9" t="str">
        <f>IFERROR( INDEX('Labour Cost'!$J$5:$J$10000, MATCH(1, INDEX( (A9&gt;='Labour Cost'!$A$5:$A$10000) * (A9&lt;='Labour Cost'!$B$5:$B$10000), 0), 0) ) * G9, 0)</f>
        <v>0</v>
      </c>
      <c r="P9" s="9" t="str">
        <f>IFERROR( INDEX('ACPM Cost'!$L$5:$L$10000, MATCH(1, INDEX( (A9&gt;='ACPM Cost'!$A$5:$A$10000) * (A9&lt;='ACPM Cost'!$B$5:$B$10000), 0), 0) ) * G9, 0)</f>
        <v>0</v>
      </c>
      <c r="Q9" s="9" t="str">
        <f>IFERROR( INDEX('Lubricants Cost'!$L$5:$L$10000, MATCH(1, INDEX( (A9&gt;='Lubricants Cost'!$A$5:$A$10000) * (A9&lt;='Lubricants Cost'!$B$5:$B$10000), 0), 0) ) * G9, 0)</f>
        <v>0</v>
      </c>
      <c r="R9" s="9" t="str">
        <f>IFERROR( INDEX('Miscellaneous'!$L$5:$L$10000, MATCH(1, INDEX( (A9&gt;='Miscellaneous'!$A$5:$A$10000) * (A9&lt;='Miscellaneous'!$B$5:$B$10000), 0), 0) ) * G9, 0)</f>
        <v>0</v>
      </c>
      <c r="S9" s="9" t="str">
        <f>SUM(H9:R9)</f>
        <v>0</v>
      </c>
    </row>
    <row r="10" spans="1:19">
      <c r="A10" s="10">
        <v>45917</v>
      </c>
      <c r="B10" s="2" t="s">
        <v>27</v>
      </c>
      <c r="C10" s="2" t="s">
        <v>20</v>
      </c>
      <c r="D10" s="2" t="s">
        <v>21</v>
      </c>
      <c r="E10" s="2" t="s">
        <v>22</v>
      </c>
      <c r="F10" s="7">
        <v>113</v>
      </c>
      <c r="G10" s="8">
        <v>21</v>
      </c>
      <c r="H10" s="9" t="str">
        <f>IFERROR( INDEX('Extraction Cost'!$L$5:$L$10000, MATCH(1, INDEX( (A10&gt;='Extraction Cost'!$A$5:$A$10000) * (A10&lt;='Extraction Cost'!$B$5:$B$10000), 0), 0) ) * G10, 0)</f>
        <v>0</v>
      </c>
      <c r="I10" s="9">
        <v>8734320</v>
      </c>
      <c r="J10" s="9">
        <v>400000</v>
      </c>
      <c r="K10" s="9">
        <v>3100000</v>
      </c>
      <c r="L10" s="9">
        <v>0</v>
      </c>
      <c r="M10" s="9" t="str">
        <f>IFERROR( INDEX('Maintenance Cost'!$J$5:$J$10000, MATCH(1, INDEX( (A10&gt;='Maintenance Cost'!$A$5:$A$10000) * (A10&lt;='Maintenance Cost'!$B$5:$B$10000), 0), 0) ) * G10, 0)</f>
        <v>0</v>
      </c>
      <c r="N10" s="9" t="str">
        <f>IFERROR( INDEX('Machine Rental Cost'!$J$5:$J$10000, MATCH(1, INDEX( (A10&gt;='Machine Rental Cost'!$A$5:$A$10000) * (A10&lt;='Machine Rental Cost'!$B$5:$B$10000), 0), 0) ) * G10, 0)</f>
        <v>0</v>
      </c>
      <c r="O10" s="9" t="str">
        <f>IFERROR( INDEX('Labour Cost'!$J$5:$J$10000, MATCH(1, INDEX( (A10&gt;='Labour Cost'!$A$5:$A$10000) * (A10&lt;='Labour Cost'!$B$5:$B$10000), 0), 0) ) * G10, 0)</f>
        <v>0</v>
      </c>
      <c r="P10" s="9" t="str">
        <f>IFERROR( INDEX('ACPM Cost'!$L$5:$L$10000, MATCH(1, INDEX( (A10&gt;='ACPM Cost'!$A$5:$A$10000) * (A10&lt;='ACPM Cost'!$B$5:$B$10000), 0), 0) ) * G10, 0)</f>
        <v>0</v>
      </c>
      <c r="Q10" s="9" t="str">
        <f>IFERROR( INDEX('Lubricants Cost'!$L$5:$L$10000, MATCH(1, INDEX( (A10&gt;='Lubricants Cost'!$A$5:$A$10000) * (A10&lt;='Lubricants Cost'!$B$5:$B$10000), 0), 0) ) * G10, 0)</f>
        <v>0</v>
      </c>
      <c r="R10" s="9" t="str">
        <f>IFERROR( INDEX('Miscellaneous'!$L$5:$L$10000, MATCH(1, INDEX( (A10&gt;='Miscellaneous'!$A$5:$A$10000) * (A10&lt;='Miscellaneous'!$B$5:$B$10000), 0), 0) ) * G10, 0)</f>
        <v>0</v>
      </c>
      <c r="S10" s="9" t="str">
        <f>SUM(H10:R10)</f>
        <v>0</v>
      </c>
    </row>
    <row r="11" spans="1:19">
      <c r="A11" s="10">
        <v>45917</v>
      </c>
      <c r="B11" s="2" t="s">
        <v>28</v>
      </c>
      <c r="C11" s="2" t="s">
        <v>20</v>
      </c>
      <c r="D11" s="2" t="s">
        <v>21</v>
      </c>
      <c r="E11" s="2" t="s">
        <v>22</v>
      </c>
      <c r="F11" s="7">
        <v>107</v>
      </c>
      <c r="G11" s="8">
        <v>21.322</v>
      </c>
      <c r="H11" s="9" t="str">
        <f>IFERROR( INDEX('Extraction Cost'!$L$5:$L$10000, MATCH(1, INDEX( (A11&gt;='Extraction Cost'!$A$5:$A$10000) * (A11&lt;='Extraction Cost'!$B$5:$B$10000), 0), 0) ) * G11, 0)</f>
        <v>0</v>
      </c>
      <c r="I11" s="9">
        <v>8734320</v>
      </c>
      <c r="J11" s="9">
        <v>400000</v>
      </c>
      <c r="K11" s="9">
        <v>3100000</v>
      </c>
      <c r="L11" s="9">
        <v>0</v>
      </c>
      <c r="M11" s="9" t="str">
        <f>IFERROR( INDEX('Maintenance Cost'!$J$5:$J$10000, MATCH(1, INDEX( (A11&gt;='Maintenance Cost'!$A$5:$A$10000) * (A11&lt;='Maintenance Cost'!$B$5:$B$10000), 0), 0) ) * G11, 0)</f>
        <v>0</v>
      </c>
      <c r="N11" s="9" t="str">
        <f>IFERROR( INDEX('Machine Rental Cost'!$J$5:$J$10000, MATCH(1, INDEX( (A11&gt;='Machine Rental Cost'!$A$5:$A$10000) * (A11&lt;='Machine Rental Cost'!$B$5:$B$10000), 0), 0) ) * G11, 0)</f>
        <v>0</v>
      </c>
      <c r="O11" s="9" t="str">
        <f>IFERROR( INDEX('Labour Cost'!$J$5:$J$10000, MATCH(1, INDEX( (A11&gt;='Labour Cost'!$A$5:$A$10000) * (A11&lt;='Labour Cost'!$B$5:$B$10000), 0), 0) ) * G11, 0)</f>
        <v>0</v>
      </c>
      <c r="P11" s="9" t="str">
        <f>IFERROR( INDEX('ACPM Cost'!$L$5:$L$10000, MATCH(1, INDEX( (A11&gt;='ACPM Cost'!$A$5:$A$10000) * (A11&lt;='ACPM Cost'!$B$5:$B$10000), 0), 0) ) * G11, 0)</f>
        <v>0</v>
      </c>
      <c r="Q11" s="9" t="str">
        <f>IFERROR( INDEX('Lubricants Cost'!$L$5:$L$10000, MATCH(1, INDEX( (A11&gt;='Lubricants Cost'!$A$5:$A$10000) * (A11&lt;='Lubricants Cost'!$B$5:$B$10000), 0), 0) ) * G11, 0)</f>
        <v>0</v>
      </c>
      <c r="R11" s="9" t="str">
        <f>IFERROR( INDEX('Miscellaneous'!$L$5:$L$10000, MATCH(1, INDEX( (A11&gt;='Miscellaneous'!$A$5:$A$10000) * (A11&lt;='Miscellaneous'!$B$5:$B$10000), 0), 0) ) * G11, 0)</f>
        <v>0</v>
      </c>
      <c r="S11" s="9" t="str">
        <f>SUM(H11:R11)</f>
        <v>0</v>
      </c>
    </row>
    <row r="12" spans="1:19">
      <c r="A12" s="10">
        <v>45918</v>
      </c>
      <c r="B12" s="2" t="s">
        <v>29</v>
      </c>
      <c r="C12" s="2" t="s">
        <v>20</v>
      </c>
      <c r="D12" s="2" t="s">
        <v>21</v>
      </c>
      <c r="E12" s="2" t="s">
        <v>22</v>
      </c>
      <c r="F12" s="7">
        <v>258</v>
      </c>
      <c r="G12" s="8">
        <v>23.081</v>
      </c>
      <c r="H12" s="9" t="str">
        <f>IFERROR( INDEX('Extraction Cost'!$L$5:$L$10000, MATCH(1, INDEX( (A12&gt;='Extraction Cost'!$A$5:$A$10000) * (A12&lt;='Extraction Cost'!$B$5:$B$10000), 0), 0) ) * G12, 0)</f>
        <v>0</v>
      </c>
      <c r="I12" s="9">
        <v>8730022.5</v>
      </c>
      <c r="J12" s="9">
        <v>400000</v>
      </c>
      <c r="K12" s="9">
        <v>3100000</v>
      </c>
      <c r="L12" s="9">
        <v>0</v>
      </c>
      <c r="M12" s="9" t="str">
        <f>IFERROR( INDEX('Maintenance Cost'!$J$5:$J$10000, MATCH(1, INDEX( (A12&gt;='Maintenance Cost'!$A$5:$A$10000) * (A12&lt;='Maintenance Cost'!$B$5:$B$10000), 0), 0) ) * G12, 0)</f>
        <v>0</v>
      </c>
      <c r="N12" s="9" t="str">
        <f>IFERROR( INDEX('Machine Rental Cost'!$J$5:$J$10000, MATCH(1, INDEX( (A12&gt;='Machine Rental Cost'!$A$5:$A$10000) * (A12&lt;='Machine Rental Cost'!$B$5:$B$10000), 0), 0) ) * G12, 0)</f>
        <v>0</v>
      </c>
      <c r="O12" s="9" t="str">
        <f>IFERROR( INDEX('Labour Cost'!$J$5:$J$10000, MATCH(1, INDEX( (A12&gt;='Labour Cost'!$A$5:$A$10000) * (A12&lt;='Labour Cost'!$B$5:$B$10000), 0), 0) ) * G12, 0)</f>
        <v>0</v>
      </c>
      <c r="P12" s="9" t="str">
        <f>IFERROR( INDEX('ACPM Cost'!$L$5:$L$10000, MATCH(1, INDEX( (A12&gt;='ACPM Cost'!$A$5:$A$10000) * (A12&lt;='ACPM Cost'!$B$5:$B$10000), 0), 0) ) * G12, 0)</f>
        <v>0</v>
      </c>
      <c r="Q12" s="9" t="str">
        <f>IFERROR( INDEX('Lubricants Cost'!$L$5:$L$10000, MATCH(1, INDEX( (A12&gt;='Lubricants Cost'!$A$5:$A$10000) * (A12&lt;='Lubricants Cost'!$B$5:$B$10000), 0), 0) ) * G12, 0)</f>
        <v>0</v>
      </c>
      <c r="R12" s="9" t="str">
        <f>IFERROR( INDEX('Miscellaneous'!$L$5:$L$10000, MATCH(1, INDEX( (A12&gt;='Miscellaneous'!$A$5:$A$10000) * (A12&lt;='Miscellaneous'!$B$5:$B$10000), 0), 0) ) * G12, 0)</f>
        <v>0</v>
      </c>
      <c r="S12" s="9" t="str">
        <f>SUM(H12:R12)</f>
        <v>0</v>
      </c>
    </row>
    <row r="13" spans="1:19">
      <c r="A13" s="10">
        <v>45924</v>
      </c>
      <c r="B13" s="2" t="s">
        <v>30</v>
      </c>
      <c r="C13" s="2" t="s">
        <v>20</v>
      </c>
      <c r="D13" s="2" t="s">
        <v>21</v>
      </c>
      <c r="E13" s="2" t="s">
        <v>22</v>
      </c>
      <c r="F13" s="7">
        <v>132</v>
      </c>
      <c r="G13" s="8">
        <v>20.95</v>
      </c>
      <c r="H13" s="9" t="str">
        <f>IFERROR( INDEX('Extraction Cost'!$L$5:$L$10000, MATCH(1, INDEX( (A13&gt;='Extraction Cost'!$A$5:$A$10000) * (A13&lt;='Extraction Cost'!$B$5:$B$10000), 0), 0) ) * G13, 0)</f>
        <v>0</v>
      </c>
      <c r="I13" s="9">
        <v>8650057.5</v>
      </c>
      <c r="J13" s="9">
        <v>400000</v>
      </c>
      <c r="K13" s="9">
        <v>3100000</v>
      </c>
      <c r="L13" s="9">
        <v>0</v>
      </c>
      <c r="M13" s="9" t="str">
        <f>IFERROR( INDEX('Maintenance Cost'!$J$5:$J$10000, MATCH(1, INDEX( (A13&gt;='Maintenance Cost'!$A$5:$A$10000) * (A13&lt;='Maintenance Cost'!$B$5:$B$10000), 0), 0) ) * G13, 0)</f>
        <v>0</v>
      </c>
      <c r="N13" s="9" t="str">
        <f>IFERROR( INDEX('Machine Rental Cost'!$J$5:$J$10000, MATCH(1, INDEX( (A13&gt;='Machine Rental Cost'!$A$5:$A$10000) * (A13&lt;='Machine Rental Cost'!$B$5:$B$10000), 0), 0) ) * G13, 0)</f>
        <v>0</v>
      </c>
      <c r="O13" s="9" t="str">
        <f>IFERROR( INDEX('Labour Cost'!$J$5:$J$10000, MATCH(1, INDEX( (A13&gt;='Labour Cost'!$A$5:$A$10000) * (A13&lt;='Labour Cost'!$B$5:$B$10000), 0), 0) ) * G13, 0)</f>
        <v>0</v>
      </c>
      <c r="P13" s="9" t="str">
        <f>IFERROR( INDEX('ACPM Cost'!$L$5:$L$10000, MATCH(1, INDEX( (A13&gt;='ACPM Cost'!$A$5:$A$10000) * (A13&lt;='ACPM Cost'!$B$5:$B$10000), 0), 0) ) * G13, 0)</f>
        <v>0</v>
      </c>
      <c r="Q13" s="9" t="str">
        <f>IFERROR( INDEX('Lubricants Cost'!$L$5:$L$10000, MATCH(1, INDEX( (A13&gt;='Lubricants Cost'!$A$5:$A$10000) * (A13&lt;='Lubricants Cost'!$B$5:$B$10000), 0), 0) ) * G13, 0)</f>
        <v>0</v>
      </c>
      <c r="R13" s="9" t="str">
        <f>IFERROR( INDEX('Miscellaneous'!$L$5:$L$10000, MATCH(1, INDEX( (A13&gt;='Miscellaneous'!$A$5:$A$10000) * (A13&lt;='Miscellaneous'!$B$5:$B$10000), 0), 0) ) * G13, 0)</f>
        <v>0</v>
      </c>
      <c r="S13" s="9" t="str">
        <f>SUM(H13:R13)</f>
        <v>0</v>
      </c>
    </row>
    <row r="14" spans="1:19">
      <c r="A14" s="10">
        <v>45926</v>
      </c>
      <c r="B14" s="2" t="s">
        <v>31</v>
      </c>
      <c r="C14" s="2" t="s">
        <v>20</v>
      </c>
      <c r="D14" s="2" t="s">
        <v>21</v>
      </c>
      <c r="E14" s="2" t="s">
        <v>22</v>
      </c>
      <c r="F14" s="7">
        <v>165</v>
      </c>
      <c r="G14" s="8">
        <v>20.063</v>
      </c>
      <c r="H14" s="9" t="str">
        <f>IFERROR( INDEX('Extraction Cost'!$L$5:$L$10000, MATCH(1, INDEX( (A14&gt;='Extraction Cost'!$A$5:$A$10000) * (A14&lt;='Extraction Cost'!$B$5:$B$10000), 0), 0) ) * G14, 0)</f>
        <v>0</v>
      </c>
      <c r="I14" s="9">
        <v>160755283.6875</v>
      </c>
      <c r="J14" s="9">
        <v>400000</v>
      </c>
      <c r="K14" s="9">
        <v>3100000</v>
      </c>
      <c r="L14" s="9">
        <v>0</v>
      </c>
      <c r="M14" s="9" t="str">
        <f>IFERROR( INDEX('Maintenance Cost'!$J$5:$J$10000, MATCH(1, INDEX( (A14&gt;='Maintenance Cost'!$A$5:$A$10000) * (A14&lt;='Maintenance Cost'!$B$5:$B$10000), 0), 0) ) * G14, 0)</f>
        <v>0</v>
      </c>
      <c r="N14" s="9" t="str">
        <f>IFERROR( INDEX('Machine Rental Cost'!$J$5:$J$10000, MATCH(1, INDEX( (A14&gt;='Machine Rental Cost'!$A$5:$A$10000) * (A14&lt;='Machine Rental Cost'!$B$5:$B$10000), 0), 0) ) * G14, 0)</f>
        <v>0</v>
      </c>
      <c r="O14" s="9" t="str">
        <f>IFERROR( INDEX('Labour Cost'!$J$5:$J$10000, MATCH(1, INDEX( (A14&gt;='Labour Cost'!$A$5:$A$10000) * (A14&lt;='Labour Cost'!$B$5:$B$10000), 0), 0) ) * G14, 0)</f>
        <v>0</v>
      </c>
      <c r="P14" s="9" t="str">
        <f>IFERROR( INDEX('ACPM Cost'!$L$5:$L$10000, MATCH(1, INDEX( (A14&gt;='ACPM Cost'!$A$5:$A$10000) * (A14&lt;='ACPM Cost'!$B$5:$B$10000), 0), 0) ) * G14, 0)</f>
        <v>0</v>
      </c>
      <c r="Q14" s="9" t="str">
        <f>IFERROR( INDEX('Lubricants Cost'!$L$5:$L$10000, MATCH(1, INDEX( (A14&gt;='Lubricants Cost'!$A$5:$A$10000) * (A14&lt;='Lubricants Cost'!$B$5:$B$10000), 0), 0) ) * G14, 0)</f>
        <v>0</v>
      </c>
      <c r="R14" s="9" t="str">
        <f>IFERROR( INDEX('Miscellaneous'!$L$5:$L$10000, MATCH(1, INDEX( (A14&gt;='Miscellaneous'!$A$5:$A$10000) * (A14&lt;='Miscellaneous'!$B$5:$B$10000), 0), 0) ) * G14, 0)</f>
        <v>0</v>
      </c>
      <c r="S14" s="9" t="str">
        <f>SUM(H14:R14)</f>
        <v>0</v>
      </c>
    </row>
    <row r="15" spans="1:19">
      <c r="A15" s="10">
        <v>45939</v>
      </c>
      <c r="B15" s="2" t="s">
        <v>32</v>
      </c>
      <c r="C15" s="2" t="s">
        <v>20</v>
      </c>
      <c r="D15" s="2" t="s">
        <v>21</v>
      </c>
      <c r="E15" s="2" t="s">
        <v>22</v>
      </c>
      <c r="F15" s="7">
        <v>148</v>
      </c>
      <c r="G15" s="8">
        <v>20.017</v>
      </c>
      <c r="H15" s="9" t="str">
        <f>IFERROR( INDEX('Extraction Cost'!$L$5:$L$10000, MATCH(1, INDEX( (A15&gt;='Extraction Cost'!$A$5:$A$10000) * (A15&lt;='Extraction Cost'!$B$5:$B$10000), 0), 0) ) * G15, 0)</f>
        <v>0</v>
      </c>
      <c r="I15" s="9">
        <v>8729550</v>
      </c>
      <c r="J15" s="9">
        <v>400000</v>
      </c>
      <c r="K15" s="9">
        <v>3100000</v>
      </c>
      <c r="L15" s="9">
        <v>0</v>
      </c>
      <c r="M15" s="9" t="str">
        <f>IFERROR( INDEX('Maintenance Cost'!$J$5:$J$10000, MATCH(1, INDEX( (A15&gt;='Maintenance Cost'!$A$5:$A$10000) * (A15&lt;='Maintenance Cost'!$B$5:$B$10000), 0), 0) ) * G15, 0)</f>
        <v>0</v>
      </c>
      <c r="N15" s="9" t="str">
        <f>IFERROR( INDEX('Machine Rental Cost'!$J$5:$J$10000, MATCH(1, INDEX( (A15&gt;='Machine Rental Cost'!$A$5:$A$10000) * (A15&lt;='Machine Rental Cost'!$B$5:$B$10000), 0), 0) ) * G15, 0)</f>
        <v>0</v>
      </c>
      <c r="O15" s="9" t="str">
        <f>IFERROR( INDEX('Labour Cost'!$J$5:$J$10000, MATCH(1, INDEX( (A15&gt;='Labour Cost'!$A$5:$A$10000) * (A15&lt;='Labour Cost'!$B$5:$B$10000), 0), 0) ) * G15, 0)</f>
        <v>0</v>
      </c>
      <c r="P15" s="9" t="str">
        <f>IFERROR( INDEX('ACPM Cost'!$L$5:$L$10000, MATCH(1, INDEX( (A15&gt;='ACPM Cost'!$A$5:$A$10000) * (A15&lt;='ACPM Cost'!$B$5:$B$10000), 0), 0) ) * G15, 0)</f>
        <v>0</v>
      </c>
      <c r="Q15" s="9" t="str">
        <f>IFERROR( INDEX('Lubricants Cost'!$L$5:$L$10000, MATCH(1, INDEX( (A15&gt;='Lubricants Cost'!$A$5:$A$10000) * (A15&lt;='Lubricants Cost'!$B$5:$B$10000), 0), 0) ) * G15, 0)</f>
        <v>0</v>
      </c>
      <c r="R15" s="9" t="str">
        <f>IFERROR( INDEX('Miscellaneous'!$L$5:$L$10000, MATCH(1, INDEX( (A15&gt;='Miscellaneous'!$A$5:$A$10000) * (A15&lt;='Miscellaneous'!$B$5:$B$10000), 0), 0) ) * G15, 0)</f>
        <v>0</v>
      </c>
      <c r="S15" s="9" t="str">
        <f>SUM(H15:R15)</f>
        <v>0</v>
      </c>
    </row>
    <row r="16" spans="1:19">
      <c r="A16" s="10">
        <v>45940</v>
      </c>
      <c r="B16" s="2" t="s">
        <v>33</v>
      </c>
      <c r="C16" s="2" t="s">
        <v>20</v>
      </c>
      <c r="D16" s="2" t="s">
        <v>21</v>
      </c>
      <c r="E16" s="2" t="s">
        <v>22</v>
      </c>
      <c r="F16" s="7">
        <v>129</v>
      </c>
      <c r="G16" s="8">
        <v>21.121</v>
      </c>
      <c r="H16" s="9" t="str">
        <f>IFERROR( INDEX('Extraction Cost'!$L$5:$L$10000, MATCH(1, INDEX( (A16&gt;='Extraction Cost'!$A$5:$A$10000) * (A16&lt;='Extraction Cost'!$B$5:$B$10000), 0), 0) ) * G16, 0)</f>
        <v>0</v>
      </c>
      <c r="I16" s="9">
        <v>170813812.7025</v>
      </c>
      <c r="J16" s="9">
        <v>350000</v>
      </c>
      <c r="K16" s="9">
        <v>3100000</v>
      </c>
      <c r="L16" s="9">
        <v>0</v>
      </c>
      <c r="M16" s="9" t="str">
        <f>IFERROR( INDEX('Maintenance Cost'!$J$5:$J$10000, MATCH(1, INDEX( (A16&gt;='Maintenance Cost'!$A$5:$A$10000) * (A16&lt;='Maintenance Cost'!$B$5:$B$10000), 0), 0) ) * G16, 0)</f>
        <v>0</v>
      </c>
      <c r="N16" s="9" t="str">
        <f>IFERROR( INDEX('Machine Rental Cost'!$J$5:$J$10000, MATCH(1, INDEX( (A16&gt;='Machine Rental Cost'!$A$5:$A$10000) * (A16&lt;='Machine Rental Cost'!$B$5:$B$10000), 0), 0) ) * G16, 0)</f>
        <v>0</v>
      </c>
      <c r="O16" s="9" t="str">
        <f>IFERROR( INDEX('Labour Cost'!$J$5:$J$10000, MATCH(1, INDEX( (A16&gt;='Labour Cost'!$A$5:$A$10000) * (A16&lt;='Labour Cost'!$B$5:$B$10000), 0), 0) ) * G16, 0)</f>
        <v>0</v>
      </c>
      <c r="P16" s="9" t="str">
        <f>IFERROR( INDEX('ACPM Cost'!$L$5:$L$10000, MATCH(1, INDEX( (A16&gt;='ACPM Cost'!$A$5:$A$10000) * (A16&lt;='ACPM Cost'!$B$5:$B$10000), 0), 0) ) * G16, 0)</f>
        <v>0</v>
      </c>
      <c r="Q16" s="9" t="str">
        <f>IFERROR( INDEX('Lubricants Cost'!$L$5:$L$10000, MATCH(1, INDEX( (A16&gt;='Lubricants Cost'!$A$5:$A$10000) * (A16&lt;='Lubricants Cost'!$B$5:$B$10000), 0), 0) ) * G16, 0)</f>
        <v>0</v>
      </c>
      <c r="R16" s="9" t="str">
        <f>IFERROR( INDEX('Miscellaneous'!$L$5:$L$10000, MATCH(1, INDEX( (A16&gt;='Miscellaneous'!$A$5:$A$10000) * (A16&lt;='Miscellaneous'!$B$5:$B$10000), 0), 0) ) * G16, 0)</f>
        <v>0</v>
      </c>
      <c r="S16" s="9" t="str">
        <f>SUM(H16:R16)</f>
        <v>0</v>
      </c>
    </row>
    <row r="17" spans="1:19">
      <c r="A17" s="10">
        <v>45944</v>
      </c>
      <c r="B17" s="2" t="s">
        <v>34</v>
      </c>
      <c r="C17" s="2" t="s">
        <v>20</v>
      </c>
      <c r="D17" s="2" t="s">
        <v>21</v>
      </c>
      <c r="E17" s="2" t="s">
        <v>22</v>
      </c>
      <c r="F17" s="7">
        <v>170</v>
      </c>
      <c r="G17" s="8">
        <v>21.524</v>
      </c>
      <c r="H17" s="9" t="str">
        <f>IFERROR( INDEX('Extraction Cost'!$L$5:$L$10000, MATCH(1, INDEX( (A17&gt;='Extraction Cost'!$A$5:$A$10000) * (A17&lt;='Extraction Cost'!$B$5:$B$10000), 0), 0) ) * G17, 0)</f>
        <v>0</v>
      </c>
      <c r="I17" s="9">
        <v>8804790</v>
      </c>
      <c r="J17" s="9">
        <v>350000</v>
      </c>
      <c r="K17" s="9">
        <v>3100000</v>
      </c>
      <c r="L17" s="9">
        <v>0</v>
      </c>
      <c r="M17" s="9" t="str">
        <f>IFERROR( INDEX('Maintenance Cost'!$J$5:$J$10000, MATCH(1, INDEX( (A17&gt;='Maintenance Cost'!$A$5:$A$10000) * (A17&lt;='Maintenance Cost'!$B$5:$B$10000), 0), 0) ) * G17, 0)</f>
        <v>0</v>
      </c>
      <c r="N17" s="9" t="str">
        <f>IFERROR( INDEX('Machine Rental Cost'!$J$5:$J$10000, MATCH(1, INDEX( (A17&gt;='Machine Rental Cost'!$A$5:$A$10000) * (A17&lt;='Machine Rental Cost'!$B$5:$B$10000), 0), 0) ) * G17, 0)</f>
        <v>0</v>
      </c>
      <c r="O17" s="9" t="str">
        <f>IFERROR( INDEX('Labour Cost'!$J$5:$J$10000, MATCH(1, INDEX( (A17&gt;='Labour Cost'!$A$5:$A$10000) * (A17&lt;='Labour Cost'!$B$5:$B$10000), 0), 0) ) * G17, 0)</f>
        <v>0</v>
      </c>
      <c r="P17" s="9" t="str">
        <f>IFERROR( INDEX('ACPM Cost'!$L$5:$L$10000, MATCH(1, INDEX( (A17&gt;='ACPM Cost'!$A$5:$A$10000) * (A17&lt;='ACPM Cost'!$B$5:$B$10000), 0), 0) ) * G17, 0)</f>
        <v>0</v>
      </c>
      <c r="Q17" s="9" t="str">
        <f>IFERROR( INDEX('Lubricants Cost'!$L$5:$L$10000, MATCH(1, INDEX( (A17&gt;='Lubricants Cost'!$A$5:$A$10000) * (A17&lt;='Lubricants Cost'!$B$5:$B$10000), 0), 0) ) * G17, 0)</f>
        <v>0</v>
      </c>
      <c r="R17" s="9" t="str">
        <f>IFERROR( INDEX('Miscellaneous'!$L$5:$L$10000, MATCH(1, INDEX( (A17&gt;='Miscellaneous'!$A$5:$A$10000) * (A17&lt;='Miscellaneous'!$B$5:$B$10000), 0), 0) ) * G17, 0)</f>
        <v>0</v>
      </c>
      <c r="S17" s="9" t="str">
        <f>SUM(H17:R17)</f>
        <v>0</v>
      </c>
    </row>
    <row r="18" spans="1:19">
      <c r="A18" s="10">
        <v>45958</v>
      </c>
      <c r="B18" s="2" t="s">
        <v>35</v>
      </c>
      <c r="C18" s="2" t="s">
        <v>20</v>
      </c>
      <c r="D18" s="2" t="s">
        <v>21</v>
      </c>
      <c r="E18" s="2" t="s">
        <v>22</v>
      </c>
      <c r="F18" s="7">
        <v>115</v>
      </c>
      <c r="G18" s="8">
        <v>21.669</v>
      </c>
      <c r="H18" s="9" t="str">
        <f>IFERROR( INDEX('Extraction Cost'!$L$5:$L$10000, MATCH(1, INDEX( (A18&gt;='Extraction Cost'!$A$5:$A$10000) * (A18&lt;='Extraction Cost'!$B$5:$B$10000), 0), 0) ) * G18, 0)</f>
        <v>0</v>
      </c>
      <c r="I18" s="9">
        <v>172816011</v>
      </c>
      <c r="J18" s="9">
        <v>350000</v>
      </c>
      <c r="K18" s="9">
        <v>3100000</v>
      </c>
      <c r="L18" s="9">
        <v>0</v>
      </c>
      <c r="M18" s="9" t="str">
        <f>IFERROR( INDEX('Maintenance Cost'!$J$5:$J$10000, MATCH(1, INDEX( (A18&gt;='Maintenance Cost'!$A$5:$A$10000) * (A18&lt;='Maintenance Cost'!$B$5:$B$10000), 0), 0) ) * G18, 0)</f>
        <v>0</v>
      </c>
      <c r="N18" s="9" t="str">
        <f>IFERROR( INDEX('Machine Rental Cost'!$J$5:$J$10000, MATCH(1, INDEX( (A18&gt;='Machine Rental Cost'!$A$5:$A$10000) * (A18&lt;='Machine Rental Cost'!$B$5:$B$10000), 0), 0) ) * G18, 0)</f>
        <v>0</v>
      </c>
      <c r="O18" s="9" t="str">
        <f>IFERROR( INDEX('Labour Cost'!$J$5:$J$10000, MATCH(1, INDEX( (A18&gt;='Labour Cost'!$A$5:$A$10000) * (A18&lt;='Labour Cost'!$B$5:$B$10000), 0), 0) ) * G18, 0)</f>
        <v>0</v>
      </c>
      <c r="P18" s="9" t="str">
        <f>IFERROR( INDEX('ACPM Cost'!$L$5:$L$10000, MATCH(1, INDEX( (A18&gt;='ACPM Cost'!$A$5:$A$10000) * (A18&lt;='ACPM Cost'!$B$5:$B$10000), 0), 0) ) * G18, 0)</f>
        <v>0</v>
      </c>
      <c r="Q18" s="9" t="str">
        <f>IFERROR( INDEX('Lubricants Cost'!$L$5:$L$10000, MATCH(1, INDEX( (A18&gt;='Lubricants Cost'!$A$5:$A$10000) * (A18&lt;='Lubricants Cost'!$B$5:$B$10000), 0), 0) ) * G18, 0)</f>
        <v>0</v>
      </c>
      <c r="R18" s="9" t="str">
        <f>IFERROR( INDEX('Miscellaneous'!$L$5:$L$10000, MATCH(1, INDEX( (A18&gt;='Miscellaneous'!$A$5:$A$10000) * (A18&lt;='Miscellaneous'!$B$5:$B$10000), 0), 0) ) * G18, 0)</f>
        <v>0</v>
      </c>
      <c r="S18" s="9" t="str">
        <f>SUM(H18:R18)</f>
        <v>0</v>
      </c>
    </row>
    <row r="19" spans="1:19">
      <c r="A19" s="10">
        <v>45959</v>
      </c>
      <c r="B19" s="2" t="s">
        <v>36</v>
      </c>
      <c r="C19" s="2" t="s">
        <v>20</v>
      </c>
      <c r="D19" s="2" t="s">
        <v>21</v>
      </c>
      <c r="E19" s="2" t="s">
        <v>22</v>
      </c>
      <c r="F19" s="7">
        <v>156</v>
      </c>
      <c r="G19" s="8">
        <v>20.76</v>
      </c>
      <c r="H19" s="9" t="str">
        <f>IFERROR( INDEX('Extraction Cost'!$L$5:$L$10000, MATCH(1, INDEX( (A19&gt;='Extraction Cost'!$A$5:$A$10000) * (A19&lt;='Extraction Cost'!$B$5:$B$10000), 0), 0) ) * G19, 0)</f>
        <v>0</v>
      </c>
      <c r="I19" s="9">
        <v>165719157.12</v>
      </c>
      <c r="J19" s="9">
        <v>350000</v>
      </c>
      <c r="K19" s="9">
        <v>3100000</v>
      </c>
      <c r="L19" s="9">
        <v>0</v>
      </c>
      <c r="M19" s="9" t="str">
        <f>IFERROR( INDEX('Maintenance Cost'!$J$5:$J$10000, MATCH(1, INDEX( (A19&gt;='Maintenance Cost'!$A$5:$A$10000) * (A19&lt;='Maintenance Cost'!$B$5:$B$10000), 0), 0) ) * G19, 0)</f>
        <v>0</v>
      </c>
      <c r="N19" s="9" t="str">
        <f>IFERROR( INDEX('Machine Rental Cost'!$J$5:$J$10000, MATCH(1, INDEX( (A19&gt;='Machine Rental Cost'!$A$5:$A$10000) * (A19&lt;='Machine Rental Cost'!$B$5:$B$10000), 0), 0) ) * G19, 0)</f>
        <v>0</v>
      </c>
      <c r="O19" s="9" t="str">
        <f>IFERROR( INDEX('Labour Cost'!$J$5:$J$10000, MATCH(1, INDEX( (A19&gt;='Labour Cost'!$A$5:$A$10000) * (A19&lt;='Labour Cost'!$B$5:$B$10000), 0), 0) ) * G19, 0)</f>
        <v>0</v>
      </c>
      <c r="P19" s="9" t="str">
        <f>IFERROR( INDEX('ACPM Cost'!$L$5:$L$10000, MATCH(1, INDEX( (A19&gt;='ACPM Cost'!$A$5:$A$10000) * (A19&lt;='ACPM Cost'!$B$5:$B$10000), 0), 0) ) * G19, 0)</f>
        <v>0</v>
      </c>
      <c r="Q19" s="9" t="str">
        <f>IFERROR( INDEX('Lubricants Cost'!$L$5:$L$10000, MATCH(1, INDEX( (A19&gt;='Lubricants Cost'!$A$5:$A$10000) * (A19&lt;='Lubricants Cost'!$B$5:$B$10000), 0), 0) ) * G19, 0)</f>
        <v>0</v>
      </c>
      <c r="R19" s="9" t="str">
        <f>IFERROR( INDEX('Miscellaneous'!$L$5:$L$10000, MATCH(1, INDEX( (A19&gt;='Miscellaneous'!$A$5:$A$10000) * (A19&lt;='Miscellaneous'!$B$5:$B$10000), 0), 0) ) * G19, 0)</f>
        <v>0</v>
      </c>
      <c r="S19" s="9" t="str">
        <f>SUM(H19:R19)</f>
        <v>0</v>
      </c>
    </row>
    <row r="20" spans="1:19">
      <c r="A20" s="10">
        <v>45972</v>
      </c>
      <c r="B20" s="2" t="s">
        <v>37</v>
      </c>
      <c r="C20" s="2" t="s">
        <v>20</v>
      </c>
      <c r="D20" s="2" t="s">
        <v>21</v>
      </c>
      <c r="E20" s="2" t="s">
        <v>22</v>
      </c>
      <c r="F20" s="7">
        <v>155</v>
      </c>
      <c r="G20" s="8">
        <v>20.336</v>
      </c>
      <c r="H20" s="9" t="str">
        <f>IFERROR( INDEX('Extraction Cost'!$L$5:$L$10000, MATCH(1, INDEX( (A20&gt;='Extraction Cost'!$A$5:$A$10000) * (A20&lt;='Extraction Cost'!$B$5:$B$10000), 0), 0) ) * G20, 0)</f>
        <v>0</v>
      </c>
      <c r="I20" s="9">
        <v>8462092.5</v>
      </c>
      <c r="J20" s="9">
        <v>350000</v>
      </c>
      <c r="K20" s="9">
        <v>3400000</v>
      </c>
      <c r="L20" s="9">
        <v>0</v>
      </c>
      <c r="M20" s="9" t="str">
        <f>IFERROR( INDEX('Maintenance Cost'!$J$5:$J$10000, MATCH(1, INDEX( (A20&gt;='Maintenance Cost'!$A$5:$A$10000) * (A20&lt;='Maintenance Cost'!$B$5:$B$10000), 0), 0) ) * G20, 0)</f>
        <v>0</v>
      </c>
      <c r="N20" s="9" t="str">
        <f>IFERROR( INDEX('Machine Rental Cost'!$J$5:$J$10000, MATCH(1, INDEX( (A20&gt;='Machine Rental Cost'!$A$5:$A$10000) * (A20&lt;='Machine Rental Cost'!$B$5:$B$10000), 0), 0) ) * G20, 0)</f>
        <v>0</v>
      </c>
      <c r="O20" s="9" t="str">
        <f>IFERROR( INDEX('Labour Cost'!$J$5:$J$10000, MATCH(1, INDEX( (A20&gt;='Labour Cost'!$A$5:$A$10000) * (A20&lt;='Labour Cost'!$B$5:$B$10000), 0), 0) ) * G20, 0)</f>
        <v>0</v>
      </c>
      <c r="P20" s="9" t="str">
        <f>IFERROR( INDEX('ACPM Cost'!$L$5:$L$10000, MATCH(1, INDEX( (A20&gt;='ACPM Cost'!$A$5:$A$10000) * (A20&lt;='ACPM Cost'!$B$5:$B$10000), 0), 0) ) * G20, 0)</f>
        <v>0</v>
      </c>
      <c r="Q20" s="9" t="str">
        <f>IFERROR( INDEX('Lubricants Cost'!$L$5:$L$10000, MATCH(1, INDEX( (A20&gt;='Lubricants Cost'!$A$5:$A$10000) * (A20&lt;='Lubricants Cost'!$B$5:$B$10000), 0), 0) ) * G20, 0)</f>
        <v>0</v>
      </c>
      <c r="R20" s="9" t="str">
        <f>IFERROR( INDEX('Miscellaneous'!$L$5:$L$10000, MATCH(1, INDEX( (A20&gt;='Miscellaneous'!$A$5:$A$10000) * (A20&lt;='Miscellaneous'!$B$5:$B$10000), 0), 0) ) * G20, 0)</f>
        <v>0</v>
      </c>
      <c r="S20" s="9" t="str">
        <f>SUM(H20:R20)</f>
        <v>0</v>
      </c>
    </row>
    <row r="21" spans="1:19">
      <c r="A21" s="10">
        <v>45973</v>
      </c>
      <c r="B21" s="2" t="s">
        <v>38</v>
      </c>
      <c r="C21" s="2" t="s">
        <v>20</v>
      </c>
      <c r="D21" s="2" t="s">
        <v>21</v>
      </c>
      <c r="E21" s="2" t="s">
        <v>22</v>
      </c>
      <c r="F21" s="7">
        <v>130</v>
      </c>
      <c r="G21" s="8">
        <v>20.338</v>
      </c>
      <c r="H21" s="9" t="str">
        <f>IFERROR( INDEX('Extraction Cost'!$L$5:$L$10000, MATCH(1, INDEX( (A21&gt;='Extraction Cost'!$A$5:$A$10000) * (A21&lt;='Extraction Cost'!$B$5:$B$10000), 0), 0) ) * G21, 0)</f>
        <v>0</v>
      </c>
      <c r="I21" s="9">
        <v>8462092.5</v>
      </c>
      <c r="J21" s="9">
        <v>350000</v>
      </c>
      <c r="K21" s="9">
        <v>3100000</v>
      </c>
      <c r="L21" s="9">
        <v>0</v>
      </c>
      <c r="M21" s="9" t="str">
        <f>IFERROR( INDEX('Maintenance Cost'!$J$5:$J$10000, MATCH(1, INDEX( (A21&gt;='Maintenance Cost'!$A$5:$A$10000) * (A21&lt;='Maintenance Cost'!$B$5:$B$10000), 0), 0) ) * G21, 0)</f>
        <v>0</v>
      </c>
      <c r="N21" s="9" t="str">
        <f>IFERROR( INDEX('Machine Rental Cost'!$J$5:$J$10000, MATCH(1, INDEX( (A21&gt;='Machine Rental Cost'!$A$5:$A$10000) * (A21&lt;='Machine Rental Cost'!$B$5:$B$10000), 0), 0) ) * G21, 0)</f>
        <v>0</v>
      </c>
      <c r="O21" s="9" t="str">
        <f>IFERROR( INDEX('Labour Cost'!$J$5:$J$10000, MATCH(1, INDEX( (A21&gt;='Labour Cost'!$A$5:$A$10000) * (A21&lt;='Labour Cost'!$B$5:$B$10000), 0), 0) ) * G21, 0)</f>
        <v>0</v>
      </c>
      <c r="P21" s="9" t="str">
        <f>IFERROR( INDEX('ACPM Cost'!$L$5:$L$10000, MATCH(1, INDEX( (A21&gt;='ACPM Cost'!$A$5:$A$10000) * (A21&lt;='ACPM Cost'!$B$5:$B$10000), 0), 0) ) * G21, 0)</f>
        <v>0</v>
      </c>
      <c r="Q21" s="9" t="str">
        <f>IFERROR( INDEX('Lubricants Cost'!$L$5:$L$10000, MATCH(1, INDEX( (A21&gt;='Lubricants Cost'!$A$5:$A$10000) * (A21&lt;='Lubricants Cost'!$B$5:$B$10000), 0), 0) ) * G21, 0)</f>
        <v>0</v>
      </c>
      <c r="R21" s="9" t="str">
        <f>IFERROR( INDEX('Miscellaneous'!$L$5:$L$10000, MATCH(1, INDEX( (A21&gt;='Miscellaneous'!$A$5:$A$10000) * (A21&lt;='Miscellaneous'!$B$5:$B$10000), 0), 0) ) * G21, 0)</f>
        <v>0</v>
      </c>
      <c r="S21" s="9" t="str">
        <f>SUM(H21:R21)</f>
        <v>0</v>
      </c>
    </row>
    <row r="22" spans="1:19">
      <c r="A22" s="10">
        <v>45973</v>
      </c>
      <c r="B22" s="2" t="s">
        <v>39</v>
      </c>
      <c r="C22" s="2" t="s">
        <v>20</v>
      </c>
      <c r="D22" s="2" t="s">
        <v>21</v>
      </c>
      <c r="E22" s="2" t="s">
        <v>22</v>
      </c>
      <c r="F22" s="7">
        <v>148</v>
      </c>
      <c r="G22" s="8">
        <v>18.027</v>
      </c>
      <c r="H22" s="9" t="str">
        <f>IFERROR( INDEX('Extraction Cost'!$L$5:$L$10000, MATCH(1, INDEX( (A22&gt;='Extraction Cost'!$A$5:$A$10000) * (A22&lt;='Extraction Cost'!$B$5:$B$10000), 0), 0) ) * G22, 0)</f>
        <v>0</v>
      </c>
      <c r="I22" s="9">
        <v>8713057.5</v>
      </c>
      <c r="J22" s="9">
        <v>350000</v>
      </c>
      <c r="K22" s="9">
        <v>3400000</v>
      </c>
      <c r="L22" s="9">
        <v>0</v>
      </c>
      <c r="M22" s="9" t="str">
        <f>IFERROR( INDEX('Maintenance Cost'!$J$5:$J$10000, MATCH(1, INDEX( (A22&gt;='Maintenance Cost'!$A$5:$A$10000) * (A22&lt;='Maintenance Cost'!$B$5:$B$10000), 0), 0) ) * G22, 0)</f>
        <v>0</v>
      </c>
      <c r="N22" s="9" t="str">
        <f>IFERROR( INDEX('Machine Rental Cost'!$J$5:$J$10000, MATCH(1, INDEX( (A22&gt;='Machine Rental Cost'!$A$5:$A$10000) * (A22&lt;='Machine Rental Cost'!$B$5:$B$10000), 0), 0) ) * G22, 0)</f>
        <v>0</v>
      </c>
      <c r="O22" s="9" t="str">
        <f>IFERROR( INDEX('Labour Cost'!$J$5:$J$10000, MATCH(1, INDEX( (A22&gt;='Labour Cost'!$A$5:$A$10000) * (A22&lt;='Labour Cost'!$B$5:$B$10000), 0), 0) ) * G22, 0)</f>
        <v>0</v>
      </c>
      <c r="P22" s="9" t="str">
        <f>IFERROR( INDEX('ACPM Cost'!$L$5:$L$10000, MATCH(1, INDEX( (A22&gt;='ACPM Cost'!$A$5:$A$10000) * (A22&lt;='ACPM Cost'!$B$5:$B$10000), 0), 0) ) * G22, 0)</f>
        <v>0</v>
      </c>
      <c r="Q22" s="9" t="str">
        <f>IFERROR( INDEX('Lubricants Cost'!$L$5:$L$10000, MATCH(1, INDEX( (A22&gt;='Lubricants Cost'!$A$5:$A$10000) * (A22&lt;='Lubricants Cost'!$B$5:$B$10000), 0), 0) ) * G22, 0)</f>
        <v>0</v>
      </c>
      <c r="R22" s="9" t="str">
        <f>IFERROR( INDEX('Miscellaneous'!$L$5:$L$10000, MATCH(1, INDEX( (A22&gt;='Miscellaneous'!$A$5:$A$10000) * (A22&lt;='Miscellaneous'!$B$5:$B$10000), 0), 0) ) * G22, 0)</f>
        <v>0</v>
      </c>
      <c r="S22" s="9" t="str">
        <f>SUM(H22:R22)</f>
        <v>0</v>
      </c>
    </row>
    <row r="23" spans="1:19">
      <c r="A23" s="10">
        <v>45975</v>
      </c>
      <c r="B23" s="2" t="s">
        <v>40</v>
      </c>
      <c r="C23" s="2" t="s">
        <v>20</v>
      </c>
      <c r="D23" s="2" t="s">
        <v>21</v>
      </c>
      <c r="E23" s="2" t="s">
        <v>22</v>
      </c>
      <c r="F23" s="7">
        <v>125</v>
      </c>
      <c r="G23" s="8">
        <v>20.708</v>
      </c>
      <c r="H23" s="9" t="str">
        <f>IFERROR( INDEX('Extraction Cost'!$L$5:$L$10000, MATCH(1, INDEX( (A23&gt;='Extraction Cost'!$A$5:$A$10000) * (A23&lt;='Extraction Cost'!$B$5:$B$10000), 0), 0) ) * G23, 0)</f>
        <v>0</v>
      </c>
      <c r="I23" s="9">
        <v>8369347.5</v>
      </c>
      <c r="J23" s="9">
        <v>350000</v>
      </c>
      <c r="K23" s="9">
        <v>3100000</v>
      </c>
      <c r="L23" s="9">
        <v>0</v>
      </c>
      <c r="M23" s="9" t="str">
        <f>IFERROR( INDEX('Maintenance Cost'!$J$5:$J$10000, MATCH(1, INDEX( (A23&gt;='Maintenance Cost'!$A$5:$A$10000) * (A23&lt;='Maintenance Cost'!$B$5:$B$10000), 0), 0) ) * G23, 0)</f>
        <v>0</v>
      </c>
      <c r="N23" s="9" t="str">
        <f>IFERROR( INDEX('Machine Rental Cost'!$J$5:$J$10000, MATCH(1, INDEX( (A23&gt;='Machine Rental Cost'!$A$5:$A$10000) * (A23&lt;='Machine Rental Cost'!$B$5:$B$10000), 0), 0) ) * G23, 0)</f>
        <v>0</v>
      </c>
      <c r="O23" s="9" t="str">
        <f>IFERROR( INDEX('Labour Cost'!$J$5:$J$10000, MATCH(1, INDEX( (A23&gt;='Labour Cost'!$A$5:$A$10000) * (A23&lt;='Labour Cost'!$B$5:$B$10000), 0), 0) ) * G23, 0)</f>
        <v>0</v>
      </c>
      <c r="P23" s="9" t="str">
        <f>IFERROR( INDEX('ACPM Cost'!$L$5:$L$10000, MATCH(1, INDEX( (A23&gt;='ACPM Cost'!$A$5:$A$10000) * (A23&lt;='ACPM Cost'!$B$5:$B$10000), 0), 0) ) * G23, 0)</f>
        <v>0</v>
      </c>
      <c r="Q23" s="9" t="str">
        <f>IFERROR( INDEX('Lubricants Cost'!$L$5:$L$10000, MATCH(1, INDEX( (A23&gt;='Lubricants Cost'!$A$5:$A$10000) * (A23&lt;='Lubricants Cost'!$B$5:$B$10000), 0), 0) ) * G23, 0)</f>
        <v>0</v>
      </c>
      <c r="R23" s="9" t="str">
        <f>IFERROR( INDEX('Miscellaneous'!$L$5:$L$10000, MATCH(1, INDEX( (A23&gt;='Miscellaneous'!$A$5:$A$10000) * (A23&lt;='Miscellaneous'!$B$5:$B$10000), 0), 0) ) * G23, 0)</f>
        <v>0</v>
      </c>
      <c r="S23" s="9" t="str">
        <f>SUM(H23:R23)</f>
        <v>0</v>
      </c>
    </row>
    <row r="24" spans="1:19">
      <c r="A24" s="10">
        <v>45984</v>
      </c>
      <c r="B24" s="2" t="s">
        <v>41</v>
      </c>
      <c r="C24" s="2" t="s">
        <v>20</v>
      </c>
      <c r="D24" s="2" t="s">
        <v>21</v>
      </c>
      <c r="E24" s="2" t="s">
        <v>22</v>
      </c>
      <c r="F24" s="7">
        <v>150</v>
      </c>
      <c r="G24" s="8">
        <v>20.126</v>
      </c>
      <c r="H24" s="9" t="str">
        <f>IFERROR( INDEX('Extraction Cost'!$L$5:$L$10000, MATCH(1, INDEX( (A24&gt;='Extraction Cost'!$A$5:$A$10000) * (A24&lt;='Extraction Cost'!$B$5:$B$10000), 0), 0) ) * G24, 0)</f>
        <v>0</v>
      </c>
      <c r="I24" s="9">
        <v>8362642.5</v>
      </c>
      <c r="J24" s="9">
        <v>350000</v>
      </c>
      <c r="K24" s="9">
        <v>3470000</v>
      </c>
      <c r="L24" s="9">
        <v>0</v>
      </c>
      <c r="M24" s="9" t="str">
        <f>IFERROR( INDEX('Maintenance Cost'!$J$5:$J$10000, MATCH(1, INDEX( (A24&gt;='Maintenance Cost'!$A$5:$A$10000) * (A24&lt;='Maintenance Cost'!$B$5:$B$10000), 0), 0) ) * G24, 0)</f>
        <v>0</v>
      </c>
      <c r="N24" s="9" t="str">
        <f>IFERROR( INDEX('Machine Rental Cost'!$J$5:$J$10000, MATCH(1, INDEX( (A24&gt;='Machine Rental Cost'!$A$5:$A$10000) * (A24&lt;='Machine Rental Cost'!$B$5:$B$10000), 0), 0) ) * G24, 0)</f>
        <v>0</v>
      </c>
      <c r="O24" s="9" t="str">
        <f>IFERROR( INDEX('Labour Cost'!$J$5:$J$10000, MATCH(1, INDEX( (A24&gt;='Labour Cost'!$A$5:$A$10000) * (A24&lt;='Labour Cost'!$B$5:$B$10000), 0), 0) ) * G24, 0)</f>
        <v>0</v>
      </c>
      <c r="P24" s="9" t="str">
        <f>IFERROR( INDEX('ACPM Cost'!$L$5:$L$10000, MATCH(1, INDEX( (A24&gt;='ACPM Cost'!$A$5:$A$10000) * (A24&lt;='ACPM Cost'!$B$5:$B$10000), 0), 0) ) * G24, 0)</f>
        <v>0</v>
      </c>
      <c r="Q24" s="9" t="str">
        <f>IFERROR( INDEX('Lubricants Cost'!$L$5:$L$10000, MATCH(1, INDEX( (A24&gt;='Lubricants Cost'!$A$5:$A$10000) * (A24&lt;='Lubricants Cost'!$B$5:$B$10000), 0), 0) ) * G24, 0)</f>
        <v>0</v>
      </c>
      <c r="R24" s="9" t="str">
        <f>IFERROR( INDEX('Miscellaneous'!$L$5:$L$10000, MATCH(1, INDEX( (A24&gt;='Miscellaneous'!$A$5:$A$10000) * (A24&lt;='Miscellaneous'!$B$5:$B$10000), 0), 0) ) * G24, 0)</f>
        <v>0</v>
      </c>
      <c r="S24" s="9" t="str">
        <f>SUM(H24:R24)</f>
        <v>0</v>
      </c>
    </row>
    <row r="25" spans="1:19">
      <c r="A25" s="10">
        <v>45985</v>
      </c>
      <c r="B25" s="2" t="s">
        <v>42</v>
      </c>
      <c r="C25" s="2" t="s">
        <v>20</v>
      </c>
      <c r="D25" s="2" t="s">
        <v>21</v>
      </c>
      <c r="E25" s="2" t="s">
        <v>22</v>
      </c>
      <c r="F25" s="7">
        <v>194</v>
      </c>
      <c r="G25" s="8">
        <v>20.618</v>
      </c>
      <c r="H25" s="9" t="str">
        <f>IFERROR( INDEX('Extraction Cost'!$L$5:$L$10000, MATCH(1, INDEX( (A25&gt;='Extraction Cost'!$A$5:$A$10000) * (A25&lt;='Extraction Cost'!$B$5:$B$10000), 0), 0) ) * G25, 0)</f>
        <v>0</v>
      </c>
      <c r="I25" s="9">
        <v>156465041.175</v>
      </c>
      <c r="J25" s="9">
        <v>350000</v>
      </c>
      <c r="K25" s="9">
        <v>3400000</v>
      </c>
      <c r="L25" s="9">
        <v>0</v>
      </c>
      <c r="M25" s="9" t="str">
        <f>IFERROR( INDEX('Maintenance Cost'!$J$5:$J$10000, MATCH(1, INDEX( (A25&gt;='Maintenance Cost'!$A$5:$A$10000) * (A25&lt;='Maintenance Cost'!$B$5:$B$10000), 0), 0) ) * G25, 0)</f>
        <v>0</v>
      </c>
      <c r="N25" s="9" t="str">
        <f>IFERROR( INDEX('Machine Rental Cost'!$J$5:$J$10000, MATCH(1, INDEX( (A25&gt;='Machine Rental Cost'!$A$5:$A$10000) * (A25&lt;='Machine Rental Cost'!$B$5:$B$10000), 0), 0) ) * G25, 0)</f>
        <v>0</v>
      </c>
      <c r="O25" s="9" t="str">
        <f>IFERROR( INDEX('Labour Cost'!$J$5:$J$10000, MATCH(1, INDEX( (A25&gt;='Labour Cost'!$A$5:$A$10000) * (A25&lt;='Labour Cost'!$B$5:$B$10000), 0), 0) ) * G25, 0)</f>
        <v>0</v>
      </c>
      <c r="P25" s="9" t="str">
        <f>IFERROR( INDEX('ACPM Cost'!$L$5:$L$10000, MATCH(1, INDEX( (A25&gt;='ACPM Cost'!$A$5:$A$10000) * (A25&lt;='ACPM Cost'!$B$5:$B$10000), 0), 0) ) * G25, 0)</f>
        <v>0</v>
      </c>
      <c r="Q25" s="9" t="str">
        <f>IFERROR( INDEX('Lubricants Cost'!$L$5:$L$10000, MATCH(1, INDEX( (A25&gt;='Lubricants Cost'!$A$5:$A$10000) * (A25&lt;='Lubricants Cost'!$B$5:$B$10000), 0), 0) ) * G25, 0)</f>
        <v>0</v>
      </c>
      <c r="R25" s="9" t="str">
        <f>IFERROR( INDEX('Miscellaneous'!$L$5:$L$10000, MATCH(1, INDEX( (A25&gt;='Miscellaneous'!$A$5:$A$10000) * (A25&lt;='Miscellaneous'!$B$5:$B$10000), 0), 0) ) * G25, 0)</f>
        <v>0</v>
      </c>
      <c r="S25" s="9" t="str">
        <f>SUM(H25:R25)</f>
        <v>0</v>
      </c>
    </row>
    <row r="26" spans="1:19">
      <c r="A26" s="10">
        <v>45986</v>
      </c>
      <c r="B26" s="2" t="s">
        <v>43</v>
      </c>
      <c r="C26" s="2" t="s">
        <v>20</v>
      </c>
      <c r="D26" s="2" t="s">
        <v>21</v>
      </c>
      <c r="E26" s="2" t="s">
        <v>22</v>
      </c>
      <c r="F26" s="7">
        <v>231</v>
      </c>
      <c r="G26" s="8">
        <v>21.249</v>
      </c>
      <c r="H26" s="9" t="str">
        <f>IFERROR( INDEX('Extraction Cost'!$L$5:$L$10000, MATCH(1, INDEX( (A26&gt;='Extraction Cost'!$A$5:$A$10000) * (A26&lt;='Extraction Cost'!$B$5:$B$10000), 0), 0) ) * G26, 0)</f>
        <v>0</v>
      </c>
      <c r="I26" s="9">
        <v>8559202.5</v>
      </c>
      <c r="J26" s="9">
        <v>350000</v>
      </c>
      <c r="K26" s="9">
        <v>3100000</v>
      </c>
      <c r="L26" s="9">
        <v>0</v>
      </c>
      <c r="M26" s="9" t="str">
        <f>IFERROR( INDEX('Maintenance Cost'!$J$5:$J$10000, MATCH(1, INDEX( (A26&gt;='Maintenance Cost'!$A$5:$A$10000) * (A26&lt;='Maintenance Cost'!$B$5:$B$10000), 0), 0) ) * G26, 0)</f>
        <v>0</v>
      </c>
      <c r="N26" s="9" t="str">
        <f>IFERROR( INDEX('Machine Rental Cost'!$J$5:$J$10000, MATCH(1, INDEX( (A26&gt;='Machine Rental Cost'!$A$5:$A$10000) * (A26&lt;='Machine Rental Cost'!$B$5:$B$10000), 0), 0) ) * G26, 0)</f>
        <v>0</v>
      </c>
      <c r="O26" s="9" t="str">
        <f>IFERROR( INDEX('Labour Cost'!$J$5:$J$10000, MATCH(1, INDEX( (A26&gt;='Labour Cost'!$A$5:$A$10000) * (A26&lt;='Labour Cost'!$B$5:$B$10000), 0), 0) ) * G26, 0)</f>
        <v>0</v>
      </c>
      <c r="P26" s="9" t="str">
        <f>IFERROR( INDEX('ACPM Cost'!$L$5:$L$10000, MATCH(1, INDEX( (A26&gt;='ACPM Cost'!$A$5:$A$10000) * (A26&lt;='ACPM Cost'!$B$5:$B$10000), 0), 0) ) * G26, 0)</f>
        <v>0</v>
      </c>
      <c r="Q26" s="9" t="str">
        <f>IFERROR( INDEX('Lubricants Cost'!$L$5:$L$10000, MATCH(1, INDEX( (A26&gt;='Lubricants Cost'!$A$5:$A$10000) * (A26&lt;='Lubricants Cost'!$B$5:$B$10000), 0), 0) ) * G26, 0)</f>
        <v>0</v>
      </c>
      <c r="R26" s="9" t="str">
        <f>IFERROR( INDEX('Miscellaneous'!$L$5:$L$10000, MATCH(1, INDEX( (A26&gt;='Miscellaneous'!$A$5:$A$10000) * (A26&lt;='Miscellaneous'!$B$5:$B$10000), 0), 0) ) * G26, 0)</f>
        <v>0</v>
      </c>
      <c r="S26" s="9" t="str">
        <f>SUM(H26:R26)</f>
        <v>0</v>
      </c>
    </row>
    <row r="27" spans="1:19">
      <c r="A27" s="10">
        <v>45988</v>
      </c>
      <c r="B27" s="2" t="s">
        <v>44</v>
      </c>
      <c r="C27" s="2" t="s">
        <v>20</v>
      </c>
      <c r="D27" s="2" t="s">
        <v>21</v>
      </c>
      <c r="E27" s="2" t="s">
        <v>22</v>
      </c>
      <c r="F27" s="7">
        <v>140</v>
      </c>
      <c r="G27" s="8">
        <v>20.839</v>
      </c>
      <c r="H27" s="9" t="str">
        <f>IFERROR( INDEX('Extraction Cost'!$L$5:$L$10000, MATCH(1, INDEX( (A27&gt;='Extraction Cost'!$A$5:$A$10000) * (A27&lt;='Extraction Cost'!$B$5:$B$10000), 0), 0) ) * G27, 0)</f>
        <v>0</v>
      </c>
      <c r="I27" s="9">
        <v>8490600</v>
      </c>
      <c r="J27" s="9">
        <v>350000</v>
      </c>
      <c r="K27" s="9">
        <v>3100000</v>
      </c>
      <c r="L27" s="9">
        <v>0</v>
      </c>
      <c r="M27" s="9" t="str">
        <f>IFERROR( INDEX('Maintenance Cost'!$J$5:$J$10000, MATCH(1, INDEX( (A27&gt;='Maintenance Cost'!$A$5:$A$10000) * (A27&lt;='Maintenance Cost'!$B$5:$B$10000), 0), 0) ) * G27, 0)</f>
        <v>0</v>
      </c>
      <c r="N27" s="9" t="str">
        <f>IFERROR( INDEX('Machine Rental Cost'!$J$5:$J$10000, MATCH(1, INDEX( (A27&gt;='Machine Rental Cost'!$A$5:$A$10000) * (A27&lt;='Machine Rental Cost'!$B$5:$B$10000), 0), 0) ) * G27, 0)</f>
        <v>0</v>
      </c>
      <c r="O27" s="9" t="str">
        <f>IFERROR( INDEX('Labour Cost'!$J$5:$J$10000, MATCH(1, INDEX( (A27&gt;='Labour Cost'!$A$5:$A$10000) * (A27&lt;='Labour Cost'!$B$5:$B$10000), 0), 0) ) * G27, 0)</f>
        <v>0</v>
      </c>
      <c r="P27" s="9" t="str">
        <f>IFERROR( INDEX('ACPM Cost'!$L$5:$L$10000, MATCH(1, INDEX( (A27&gt;='ACPM Cost'!$A$5:$A$10000) * (A27&lt;='ACPM Cost'!$B$5:$B$10000), 0), 0) ) * G27, 0)</f>
        <v>0</v>
      </c>
      <c r="Q27" s="9" t="str">
        <f>IFERROR( INDEX('Lubricants Cost'!$L$5:$L$10000, MATCH(1, INDEX( (A27&gt;='Lubricants Cost'!$A$5:$A$10000) * (A27&lt;='Lubricants Cost'!$B$5:$B$10000), 0), 0) ) * G27, 0)</f>
        <v>0</v>
      </c>
      <c r="R27" s="9" t="str">
        <f>IFERROR( INDEX('Miscellaneous'!$L$5:$L$10000, MATCH(1, INDEX( (A27&gt;='Miscellaneous'!$A$5:$A$10000) * (A27&lt;='Miscellaneous'!$B$5:$B$10000), 0), 0) ) * G27, 0)</f>
        <v>0</v>
      </c>
      <c r="S27" s="9" t="str">
        <f>SUM(H27:R27)</f>
        <v>0</v>
      </c>
    </row>
    <row r="28" spans="1:19">
      <c r="A28" s="10">
        <v>46009</v>
      </c>
      <c r="B28" s="2" t="s">
        <v>45</v>
      </c>
      <c r="C28" s="2" t="s">
        <v>20</v>
      </c>
      <c r="D28" s="2" t="s">
        <v>21</v>
      </c>
      <c r="E28" s="2" t="s">
        <v>22</v>
      </c>
      <c r="F28" s="7">
        <v>135</v>
      </c>
      <c r="G28" s="8">
        <v>20.347</v>
      </c>
      <c r="H28" s="9" t="str">
        <f>IFERROR( INDEX('Extraction Cost'!$L$5:$L$10000, MATCH(1, INDEX( (A28&gt;='Extraction Cost'!$A$5:$A$10000) * (A28&lt;='Extraction Cost'!$B$5:$B$10000), 0), 0) ) * G28, 0)</f>
        <v>0</v>
      </c>
      <c r="I28" s="9">
        <v>8700232.5</v>
      </c>
      <c r="J28" s="9">
        <v>350000</v>
      </c>
      <c r="K28" s="9">
        <v>3100000</v>
      </c>
      <c r="L28" s="9">
        <v>0</v>
      </c>
      <c r="M28" s="9" t="str">
        <f>IFERROR( INDEX('Maintenance Cost'!$J$5:$J$10000, MATCH(1, INDEX( (A28&gt;='Maintenance Cost'!$A$5:$A$10000) * (A28&lt;='Maintenance Cost'!$B$5:$B$10000), 0), 0) ) * G28, 0)</f>
        <v>0</v>
      </c>
      <c r="N28" s="9" t="str">
        <f>IFERROR( INDEX('Machine Rental Cost'!$J$5:$J$10000, MATCH(1, INDEX( (A28&gt;='Machine Rental Cost'!$A$5:$A$10000) * (A28&lt;='Machine Rental Cost'!$B$5:$B$10000), 0), 0) ) * G28, 0)</f>
        <v>0</v>
      </c>
      <c r="O28" s="9" t="str">
        <f>IFERROR( INDEX('Labour Cost'!$J$5:$J$10000, MATCH(1, INDEX( (A28&gt;='Labour Cost'!$A$5:$A$10000) * (A28&lt;='Labour Cost'!$B$5:$B$10000), 0), 0) ) * G28, 0)</f>
        <v>0</v>
      </c>
      <c r="P28" s="9" t="str">
        <f>IFERROR( INDEX('ACPM Cost'!$L$5:$L$10000, MATCH(1, INDEX( (A28&gt;='ACPM Cost'!$A$5:$A$10000) * (A28&lt;='ACPM Cost'!$B$5:$B$10000), 0), 0) ) * G28, 0)</f>
        <v>0</v>
      </c>
      <c r="Q28" s="9" t="str">
        <f>IFERROR( INDEX('Lubricants Cost'!$L$5:$L$10000, MATCH(1, INDEX( (A28&gt;='Lubricants Cost'!$A$5:$A$10000) * (A28&lt;='Lubricants Cost'!$B$5:$B$10000), 0), 0) ) * G28, 0)</f>
        <v>0</v>
      </c>
      <c r="R28" s="9" t="str">
        <f>IFERROR( INDEX('Miscellaneous'!$L$5:$L$10000, MATCH(1, INDEX( (A28&gt;='Miscellaneous'!$A$5:$A$10000) * (A28&lt;='Miscellaneous'!$B$5:$B$10000), 0), 0) ) * G28, 0)</f>
        <v>0</v>
      </c>
      <c r="S28" s="9" t="str">
        <f>SUM(H28:R28)</f>
        <v>0</v>
      </c>
    </row>
    <row r="29" spans="1:19">
      <c r="A29" s="10">
        <v>46013</v>
      </c>
      <c r="B29" s="2" t="s">
        <v>46</v>
      </c>
      <c r="C29" s="2" t="s">
        <v>20</v>
      </c>
      <c r="D29" s="2" t="s">
        <v>21</v>
      </c>
      <c r="E29" s="2" t="s">
        <v>22</v>
      </c>
      <c r="F29" s="7">
        <v>133</v>
      </c>
      <c r="G29" s="8">
        <v>19.38</v>
      </c>
      <c r="H29" s="9" t="str">
        <f>IFERROR( INDEX('Extraction Cost'!$L$5:$L$10000, MATCH(1, INDEX( (A29&gt;='Extraction Cost'!$A$5:$A$10000) * (A29&lt;='Extraction Cost'!$B$5:$B$10000), 0), 0) ) * G29, 0)</f>
        <v>0</v>
      </c>
      <c r="I29" s="9">
        <v>8590342.5</v>
      </c>
      <c r="J29" s="9">
        <v>350000</v>
      </c>
      <c r="K29" s="9">
        <v>3100000</v>
      </c>
      <c r="L29" s="9">
        <v>0</v>
      </c>
      <c r="M29" s="9" t="str">
        <f>IFERROR( INDEX('Maintenance Cost'!$J$5:$J$10000, MATCH(1, INDEX( (A29&gt;='Maintenance Cost'!$A$5:$A$10000) * (A29&lt;='Maintenance Cost'!$B$5:$B$10000), 0), 0) ) * G29, 0)</f>
        <v>0</v>
      </c>
      <c r="N29" s="9" t="str">
        <f>IFERROR( INDEX('Machine Rental Cost'!$J$5:$J$10000, MATCH(1, INDEX( (A29&gt;='Machine Rental Cost'!$A$5:$A$10000) * (A29&lt;='Machine Rental Cost'!$B$5:$B$10000), 0), 0) ) * G29, 0)</f>
        <v>0</v>
      </c>
      <c r="O29" s="9" t="str">
        <f>IFERROR( INDEX('Labour Cost'!$J$5:$J$10000, MATCH(1, INDEX( (A29&gt;='Labour Cost'!$A$5:$A$10000) * (A29&lt;='Labour Cost'!$B$5:$B$10000), 0), 0) ) * G29, 0)</f>
        <v>0</v>
      </c>
      <c r="P29" s="9" t="str">
        <f>IFERROR( INDEX('ACPM Cost'!$L$5:$L$10000, MATCH(1, INDEX( (A29&gt;='ACPM Cost'!$A$5:$A$10000) * (A29&lt;='ACPM Cost'!$B$5:$B$10000), 0), 0) ) * G29, 0)</f>
        <v>0</v>
      </c>
      <c r="Q29" s="9" t="str">
        <f>IFERROR( INDEX('Lubricants Cost'!$L$5:$L$10000, MATCH(1, INDEX( (A29&gt;='Lubricants Cost'!$A$5:$A$10000) * (A29&lt;='Lubricants Cost'!$B$5:$B$10000), 0), 0) ) * G29, 0)</f>
        <v>0</v>
      </c>
      <c r="R29" s="9" t="str">
        <f>IFERROR( INDEX('Miscellaneous'!$L$5:$L$10000, MATCH(1, INDEX( (A29&gt;='Miscellaneous'!$A$5:$A$10000) * (A29&lt;='Miscellaneous'!$B$5:$B$10000), 0), 0) ) * G29, 0)</f>
        <v>0</v>
      </c>
      <c r="S29" s="9" t="str">
        <f>SUM(H29:R29)</f>
        <v>0</v>
      </c>
    </row>
    <row r="30" spans="1:19">
      <c r="A30" s="10">
        <v>46014</v>
      </c>
      <c r="B30" s="2" t="s">
        <v>47</v>
      </c>
      <c r="C30" s="2" t="s">
        <v>20</v>
      </c>
      <c r="D30" s="2" t="s">
        <v>21</v>
      </c>
      <c r="E30" s="2" t="s">
        <v>22</v>
      </c>
      <c r="F30" s="7">
        <v>296</v>
      </c>
      <c r="G30" s="8">
        <v>21.93</v>
      </c>
      <c r="H30" s="9" t="str">
        <f>IFERROR( INDEX('Extraction Cost'!$L$5:$L$10000, MATCH(1, INDEX( (A30&gt;='Extraction Cost'!$A$5:$A$10000) * (A30&lt;='Extraction Cost'!$B$5:$B$10000), 0), 0) ) * G30, 0)</f>
        <v>0</v>
      </c>
      <c r="I30" s="9">
        <v>8533327.5</v>
      </c>
      <c r="J30" s="9">
        <v>350000</v>
      </c>
      <c r="K30" s="9">
        <v>3100000</v>
      </c>
      <c r="L30" s="9">
        <v>0</v>
      </c>
      <c r="M30" s="9" t="str">
        <f>IFERROR( INDEX('Maintenance Cost'!$J$5:$J$10000, MATCH(1, INDEX( (A30&gt;='Maintenance Cost'!$A$5:$A$10000) * (A30&lt;='Maintenance Cost'!$B$5:$B$10000), 0), 0) ) * G30, 0)</f>
        <v>0</v>
      </c>
      <c r="N30" s="9" t="str">
        <f>IFERROR( INDEX('Machine Rental Cost'!$J$5:$J$10000, MATCH(1, INDEX( (A30&gt;='Machine Rental Cost'!$A$5:$A$10000) * (A30&lt;='Machine Rental Cost'!$B$5:$B$10000), 0), 0) ) * G30, 0)</f>
        <v>0</v>
      </c>
      <c r="O30" s="9" t="str">
        <f>IFERROR( INDEX('Labour Cost'!$J$5:$J$10000, MATCH(1, INDEX( (A30&gt;='Labour Cost'!$A$5:$A$10000) * (A30&lt;='Labour Cost'!$B$5:$B$10000), 0), 0) ) * G30, 0)</f>
        <v>0</v>
      </c>
      <c r="P30" s="9" t="str">
        <f>IFERROR( INDEX('ACPM Cost'!$L$5:$L$10000, MATCH(1, INDEX( (A30&gt;='ACPM Cost'!$A$5:$A$10000) * (A30&lt;='ACPM Cost'!$B$5:$B$10000), 0), 0) ) * G30, 0)</f>
        <v>0</v>
      </c>
      <c r="Q30" s="9" t="str">
        <f>IFERROR( INDEX('Lubricants Cost'!$L$5:$L$10000, MATCH(1, INDEX( (A30&gt;='Lubricants Cost'!$A$5:$A$10000) * (A30&lt;='Lubricants Cost'!$B$5:$B$10000), 0), 0) ) * G30, 0)</f>
        <v>0</v>
      </c>
      <c r="R30" s="9" t="str">
        <f>IFERROR( INDEX('Miscellaneous'!$L$5:$L$10000, MATCH(1, INDEX( (A30&gt;='Miscellaneous'!$A$5:$A$10000) * (A30&lt;='Miscellaneous'!$B$5:$B$10000), 0), 0) ) * G30, 0)</f>
        <v>0</v>
      </c>
      <c r="S30" s="9" t="str">
        <f>SUM(H30:R30)</f>
        <v>0</v>
      </c>
    </row>
    <row r="31" spans="1:19">
      <c r="A31" s="10">
        <v>46015</v>
      </c>
      <c r="B31" s="2" t="s">
        <v>48</v>
      </c>
      <c r="C31" s="2" t="s">
        <v>20</v>
      </c>
      <c r="D31" s="2" t="s">
        <v>21</v>
      </c>
      <c r="E31" s="2" t="s">
        <v>22</v>
      </c>
      <c r="F31" s="7">
        <v>191</v>
      </c>
      <c r="G31" s="8">
        <v>19.675</v>
      </c>
      <c r="H31" s="9" t="str">
        <f>IFERROR( INDEX('Extraction Cost'!$L$5:$L$10000, MATCH(1, INDEX( (A31&gt;='Extraction Cost'!$A$5:$A$10000) * (A31&lt;='Extraction Cost'!$B$5:$B$10000), 0), 0) ) * G31, 0)</f>
        <v>0</v>
      </c>
      <c r="I31" s="9">
        <v>8617545</v>
      </c>
      <c r="J31" s="9">
        <v>350000</v>
      </c>
      <c r="K31" s="9">
        <v>3100000</v>
      </c>
      <c r="L31" s="9">
        <v>0</v>
      </c>
      <c r="M31" s="9" t="str">
        <f>IFERROR( INDEX('Maintenance Cost'!$J$5:$J$10000, MATCH(1, INDEX( (A31&gt;='Maintenance Cost'!$A$5:$A$10000) * (A31&lt;='Maintenance Cost'!$B$5:$B$10000), 0), 0) ) * G31, 0)</f>
        <v>0</v>
      </c>
      <c r="N31" s="9" t="str">
        <f>IFERROR( INDEX('Machine Rental Cost'!$J$5:$J$10000, MATCH(1, INDEX( (A31&gt;='Machine Rental Cost'!$A$5:$A$10000) * (A31&lt;='Machine Rental Cost'!$B$5:$B$10000), 0), 0) ) * G31, 0)</f>
        <v>0</v>
      </c>
      <c r="O31" s="9" t="str">
        <f>IFERROR( INDEX('Labour Cost'!$J$5:$J$10000, MATCH(1, INDEX( (A31&gt;='Labour Cost'!$A$5:$A$10000) * (A31&lt;='Labour Cost'!$B$5:$B$10000), 0), 0) ) * G31, 0)</f>
        <v>0</v>
      </c>
      <c r="P31" s="9" t="str">
        <f>IFERROR( INDEX('ACPM Cost'!$L$5:$L$10000, MATCH(1, INDEX( (A31&gt;='ACPM Cost'!$A$5:$A$10000) * (A31&lt;='ACPM Cost'!$B$5:$B$10000), 0), 0) ) * G31, 0)</f>
        <v>0</v>
      </c>
      <c r="Q31" s="9" t="str">
        <f>IFERROR( INDEX('Lubricants Cost'!$L$5:$L$10000, MATCH(1, INDEX( (A31&gt;='Lubricants Cost'!$A$5:$A$10000) * (A31&lt;='Lubricants Cost'!$B$5:$B$10000), 0), 0) ) * G31, 0)</f>
        <v>0</v>
      </c>
      <c r="R31" s="9" t="str">
        <f>IFERROR( INDEX('Miscellaneous'!$L$5:$L$10000, MATCH(1, INDEX( (A31&gt;='Miscellaneous'!$A$5:$A$10000) * (A31&lt;='Miscellaneous'!$B$5:$B$10000), 0), 0) ) * G31, 0)</f>
        <v>0</v>
      </c>
      <c r="S31" s="9" t="str">
        <f>SUM(H31:R31)</f>
        <v>0</v>
      </c>
    </row>
    <row r="32" spans="1:19">
      <c r="A32" s="10">
        <v>46015</v>
      </c>
      <c r="B32" s="2" t="s">
        <v>49</v>
      </c>
      <c r="C32" s="2" t="s">
        <v>20</v>
      </c>
      <c r="D32" s="2" t="s">
        <v>21</v>
      </c>
      <c r="E32" s="2" t="s">
        <v>22</v>
      </c>
      <c r="F32" s="7">
        <v>132</v>
      </c>
      <c r="G32" s="8">
        <v>19.619</v>
      </c>
      <c r="H32" s="9" t="str">
        <f>IFERROR( INDEX('Extraction Cost'!$L$5:$L$10000, MATCH(1, INDEX( (A32&gt;='Extraction Cost'!$A$5:$A$10000) * (A32&lt;='Extraction Cost'!$B$5:$B$10000), 0), 0) ) * G32, 0)</f>
        <v>0</v>
      </c>
      <c r="I32" s="9">
        <v>8574727.5</v>
      </c>
      <c r="J32" s="9">
        <v>350000</v>
      </c>
      <c r="K32" s="9">
        <v>3100000</v>
      </c>
      <c r="L32" s="9">
        <v>0</v>
      </c>
      <c r="M32" s="9" t="str">
        <f>IFERROR( INDEX('Maintenance Cost'!$J$5:$J$10000, MATCH(1, INDEX( (A32&gt;='Maintenance Cost'!$A$5:$A$10000) * (A32&lt;='Maintenance Cost'!$B$5:$B$10000), 0), 0) ) * G32, 0)</f>
        <v>0</v>
      </c>
      <c r="N32" s="9" t="str">
        <f>IFERROR( INDEX('Machine Rental Cost'!$J$5:$J$10000, MATCH(1, INDEX( (A32&gt;='Machine Rental Cost'!$A$5:$A$10000) * (A32&lt;='Machine Rental Cost'!$B$5:$B$10000), 0), 0) ) * G32, 0)</f>
        <v>0</v>
      </c>
      <c r="O32" s="9" t="str">
        <f>IFERROR( INDEX('Labour Cost'!$J$5:$J$10000, MATCH(1, INDEX( (A32&gt;='Labour Cost'!$A$5:$A$10000) * (A32&lt;='Labour Cost'!$B$5:$B$10000), 0), 0) ) * G32, 0)</f>
        <v>0</v>
      </c>
      <c r="P32" s="9" t="str">
        <f>IFERROR( INDEX('ACPM Cost'!$L$5:$L$10000, MATCH(1, INDEX( (A32&gt;='ACPM Cost'!$A$5:$A$10000) * (A32&lt;='ACPM Cost'!$B$5:$B$10000), 0), 0) ) * G32, 0)</f>
        <v>0</v>
      </c>
      <c r="Q32" s="9" t="str">
        <f>IFERROR( INDEX('Lubricants Cost'!$L$5:$L$10000, MATCH(1, INDEX( (A32&gt;='Lubricants Cost'!$A$5:$A$10000) * (A32&lt;='Lubricants Cost'!$B$5:$B$10000), 0), 0) ) * G32, 0)</f>
        <v>0</v>
      </c>
      <c r="R32" s="9" t="str">
        <f>IFERROR( INDEX('Miscellaneous'!$L$5:$L$10000, MATCH(1, INDEX( (A32&gt;='Miscellaneous'!$A$5:$A$10000) * (A32&lt;='Miscellaneous'!$B$5:$B$10000), 0), 0) ) * G32, 0)</f>
        <v>0</v>
      </c>
      <c r="S32" s="9" t="str">
        <f>SUM(H32:R32)</f>
        <v>0</v>
      </c>
    </row>
    <row r="33" spans="1:19">
      <c r="A33" s="10">
        <v>46015</v>
      </c>
      <c r="B33" s="2" t="s">
        <v>50</v>
      </c>
      <c r="C33" s="2" t="s">
        <v>20</v>
      </c>
      <c r="D33" s="2" t="s">
        <v>21</v>
      </c>
      <c r="E33" s="2" t="s">
        <v>22</v>
      </c>
      <c r="F33" s="7">
        <v>152</v>
      </c>
      <c r="G33" s="8">
        <v>19.562</v>
      </c>
      <c r="H33" s="9" t="str">
        <f>IFERROR( INDEX('Extraction Cost'!$L$5:$L$10000, MATCH(1, INDEX( (A33&gt;='Extraction Cost'!$A$5:$A$10000) * (A33&lt;='Extraction Cost'!$B$5:$B$10000), 0), 0) ) * G33, 0)</f>
        <v>0</v>
      </c>
      <c r="I33" s="9">
        <v>8524192.5</v>
      </c>
      <c r="J33" s="9">
        <v>350000</v>
      </c>
      <c r="K33" s="9">
        <v>3100000</v>
      </c>
      <c r="L33" s="9">
        <v>0</v>
      </c>
      <c r="M33" s="9" t="str">
        <f>IFERROR( INDEX('Maintenance Cost'!$J$5:$J$10000, MATCH(1, INDEX( (A33&gt;='Maintenance Cost'!$A$5:$A$10000) * (A33&lt;='Maintenance Cost'!$B$5:$B$10000), 0), 0) ) * G33, 0)</f>
        <v>0</v>
      </c>
      <c r="N33" s="9" t="str">
        <f>IFERROR( INDEX('Machine Rental Cost'!$J$5:$J$10000, MATCH(1, INDEX( (A33&gt;='Machine Rental Cost'!$A$5:$A$10000) * (A33&lt;='Machine Rental Cost'!$B$5:$B$10000), 0), 0) ) * G33, 0)</f>
        <v>0</v>
      </c>
      <c r="O33" s="9" t="str">
        <f>IFERROR( INDEX('Labour Cost'!$J$5:$J$10000, MATCH(1, INDEX( (A33&gt;='Labour Cost'!$A$5:$A$10000) * (A33&lt;='Labour Cost'!$B$5:$B$10000), 0), 0) ) * G33, 0)</f>
        <v>0</v>
      </c>
      <c r="P33" s="9" t="str">
        <f>IFERROR( INDEX('ACPM Cost'!$L$5:$L$10000, MATCH(1, INDEX( (A33&gt;='ACPM Cost'!$A$5:$A$10000) * (A33&lt;='ACPM Cost'!$B$5:$B$10000), 0), 0) ) * G33, 0)</f>
        <v>0</v>
      </c>
      <c r="Q33" s="9" t="str">
        <f>IFERROR( INDEX('Lubricants Cost'!$L$5:$L$10000, MATCH(1, INDEX( (A33&gt;='Lubricants Cost'!$A$5:$A$10000) * (A33&lt;='Lubricants Cost'!$B$5:$B$10000), 0), 0) ) * G33, 0)</f>
        <v>0</v>
      </c>
      <c r="R33" s="9" t="str">
        <f>IFERROR( INDEX('Miscellaneous'!$L$5:$L$10000, MATCH(1, INDEX( (A33&gt;='Miscellaneous'!$A$5:$A$10000) * (A33&lt;='Miscellaneous'!$B$5:$B$10000), 0), 0) ) * G33, 0)</f>
        <v>0</v>
      </c>
      <c r="S33" s="9" t="str">
        <f>SUM(H33:R33)</f>
        <v>0</v>
      </c>
    </row>
    <row r="34" spans="1:19">
      <c r="A34" s="10">
        <v>46015</v>
      </c>
      <c r="B34" s="2" t="s">
        <v>51</v>
      </c>
      <c r="C34" s="2" t="s">
        <v>20</v>
      </c>
      <c r="D34" s="2" t="s">
        <v>21</v>
      </c>
      <c r="E34" s="2" t="s">
        <v>22</v>
      </c>
      <c r="F34" s="7">
        <v>298</v>
      </c>
      <c r="G34" s="8">
        <v>19.466</v>
      </c>
      <c r="H34" s="9" t="str">
        <f>IFERROR( INDEX('Extraction Cost'!$L$5:$L$10000, MATCH(1, INDEX( (A34&gt;='Extraction Cost'!$A$5:$A$10000) * (A34&lt;='Extraction Cost'!$B$5:$B$10000), 0), 0) ) * G34, 0)</f>
        <v>0</v>
      </c>
      <c r="I34" s="9">
        <v>8655975</v>
      </c>
      <c r="J34" s="9">
        <v>350000</v>
      </c>
      <c r="K34" s="9">
        <v>3100000</v>
      </c>
      <c r="L34" s="9">
        <v>0</v>
      </c>
      <c r="M34" s="9" t="str">
        <f>IFERROR( INDEX('Maintenance Cost'!$J$5:$J$10000, MATCH(1, INDEX( (A34&gt;='Maintenance Cost'!$A$5:$A$10000) * (A34&lt;='Maintenance Cost'!$B$5:$B$10000), 0), 0) ) * G34, 0)</f>
        <v>0</v>
      </c>
      <c r="N34" s="9" t="str">
        <f>IFERROR( INDEX('Machine Rental Cost'!$J$5:$J$10000, MATCH(1, INDEX( (A34&gt;='Machine Rental Cost'!$A$5:$A$10000) * (A34&lt;='Machine Rental Cost'!$B$5:$B$10000), 0), 0) ) * G34, 0)</f>
        <v>0</v>
      </c>
      <c r="O34" s="9" t="str">
        <f>IFERROR( INDEX('Labour Cost'!$J$5:$J$10000, MATCH(1, INDEX( (A34&gt;='Labour Cost'!$A$5:$A$10000) * (A34&lt;='Labour Cost'!$B$5:$B$10000), 0), 0) ) * G34, 0)</f>
        <v>0</v>
      </c>
      <c r="P34" s="9" t="str">
        <f>IFERROR( INDEX('ACPM Cost'!$L$5:$L$10000, MATCH(1, INDEX( (A34&gt;='ACPM Cost'!$A$5:$A$10000) * (A34&lt;='ACPM Cost'!$B$5:$B$10000), 0), 0) ) * G34, 0)</f>
        <v>0</v>
      </c>
      <c r="Q34" s="9" t="str">
        <f>IFERROR( INDEX('Lubricants Cost'!$L$5:$L$10000, MATCH(1, INDEX( (A34&gt;='Lubricants Cost'!$A$5:$A$10000) * (A34&lt;='Lubricants Cost'!$B$5:$B$10000), 0), 0) ) * G34, 0)</f>
        <v>0</v>
      </c>
      <c r="R34" s="9" t="str">
        <f>IFERROR( INDEX('Miscellaneous'!$L$5:$L$10000, MATCH(1, INDEX( (A34&gt;='Miscellaneous'!$A$5:$A$10000) * (A34&lt;='Miscellaneous'!$B$5:$B$10000), 0), 0) ) * G34, 0)</f>
        <v>0</v>
      </c>
      <c r="S34" s="9" t="str">
        <f>SUM(H34:R34)</f>
        <v>0</v>
      </c>
    </row>
    <row r="35" spans="1:19">
      <c r="A35" s="10">
        <v>46019</v>
      </c>
      <c r="B35" s="2" t="s">
        <v>52</v>
      </c>
      <c r="C35" s="2" t="s">
        <v>20</v>
      </c>
      <c r="D35" s="2" t="s">
        <v>21</v>
      </c>
      <c r="E35" s="2" t="s">
        <v>22</v>
      </c>
      <c r="F35" s="7">
        <v>320</v>
      </c>
      <c r="G35" s="8">
        <v>19.663</v>
      </c>
      <c r="H35" s="9" t="str">
        <f>IFERROR( INDEX('Extraction Cost'!$L$5:$L$10000, MATCH(1, INDEX( (A35&gt;='Extraction Cost'!$A$5:$A$10000) * (A35&lt;='Extraction Cost'!$B$5:$B$10000), 0), 0) ) * G35, 0)</f>
        <v>0</v>
      </c>
      <c r="I35" s="9">
        <v>147197385.5625</v>
      </c>
      <c r="J35" s="9">
        <v>350000</v>
      </c>
      <c r="K35" s="9">
        <v>900000</v>
      </c>
      <c r="L35" s="9">
        <v>0</v>
      </c>
      <c r="M35" s="9" t="str">
        <f>IFERROR( INDEX('Maintenance Cost'!$J$5:$J$10000, MATCH(1, INDEX( (A35&gt;='Maintenance Cost'!$A$5:$A$10000) * (A35&lt;='Maintenance Cost'!$B$5:$B$10000), 0), 0) ) * G35, 0)</f>
        <v>0</v>
      </c>
      <c r="N35" s="9" t="str">
        <f>IFERROR( INDEX('Machine Rental Cost'!$J$5:$J$10000, MATCH(1, INDEX( (A35&gt;='Machine Rental Cost'!$A$5:$A$10000) * (A35&lt;='Machine Rental Cost'!$B$5:$B$10000), 0), 0) ) * G35, 0)</f>
        <v>0</v>
      </c>
      <c r="O35" s="9" t="str">
        <f>IFERROR( INDEX('Labour Cost'!$J$5:$J$10000, MATCH(1, INDEX( (A35&gt;='Labour Cost'!$A$5:$A$10000) * (A35&lt;='Labour Cost'!$B$5:$B$10000), 0), 0) ) * G35, 0)</f>
        <v>0</v>
      </c>
      <c r="P35" s="9" t="str">
        <f>IFERROR( INDEX('ACPM Cost'!$L$5:$L$10000, MATCH(1, INDEX( (A35&gt;='ACPM Cost'!$A$5:$A$10000) * (A35&lt;='ACPM Cost'!$B$5:$B$10000), 0), 0) ) * G35, 0)</f>
        <v>0</v>
      </c>
      <c r="Q35" s="9" t="str">
        <f>IFERROR( INDEX('Lubricants Cost'!$L$5:$L$10000, MATCH(1, INDEX( (A35&gt;='Lubricants Cost'!$A$5:$A$10000) * (A35&lt;='Lubricants Cost'!$B$5:$B$10000), 0), 0) ) * G35, 0)</f>
        <v>0</v>
      </c>
      <c r="R35" s="9" t="str">
        <f>IFERROR( INDEX('Miscellaneous'!$L$5:$L$10000, MATCH(1, INDEX( (A35&gt;='Miscellaneous'!$A$5:$A$10000) * (A35&lt;='Miscellaneous'!$B$5:$B$10000), 0), 0) ) * G35, 0)</f>
        <v>0</v>
      </c>
      <c r="S35" s="9" t="str">
        <f>SUM(H35:R35)</f>
        <v>0</v>
      </c>
    </row>
    <row r="36" spans="1:19">
      <c r="A36" s="10">
        <v>46020</v>
      </c>
      <c r="B36" s="2" t="s">
        <v>53</v>
      </c>
      <c r="C36" s="2" t="s">
        <v>20</v>
      </c>
      <c r="D36" s="2" t="s">
        <v>21</v>
      </c>
      <c r="E36" s="2" t="s">
        <v>22</v>
      </c>
      <c r="F36" s="7">
        <v>146</v>
      </c>
      <c r="G36" s="8">
        <v>18.856</v>
      </c>
      <c r="H36" s="9" t="str">
        <f>IFERROR( INDEX('Extraction Cost'!$L$5:$L$10000, MATCH(1, INDEX( (A36&gt;='Extraction Cost'!$A$5:$A$10000) * (A36&lt;='Extraction Cost'!$B$5:$B$10000), 0), 0) ) * G36, 0)</f>
        <v>0</v>
      </c>
      <c r="I36" s="9">
        <v>143903107.2375</v>
      </c>
      <c r="J36" s="9">
        <v>350000</v>
      </c>
      <c r="K36" s="9">
        <v>3100000</v>
      </c>
      <c r="L36" s="9">
        <v>0</v>
      </c>
      <c r="M36" s="9" t="str">
        <f>IFERROR( INDEX('Maintenance Cost'!$J$5:$J$10000, MATCH(1, INDEX( (A36&gt;='Maintenance Cost'!$A$5:$A$10000) * (A36&lt;='Maintenance Cost'!$B$5:$B$10000), 0), 0) ) * G36, 0)</f>
        <v>0</v>
      </c>
      <c r="N36" s="9" t="str">
        <f>IFERROR( INDEX('Machine Rental Cost'!$J$5:$J$10000, MATCH(1, INDEX( (A36&gt;='Machine Rental Cost'!$A$5:$A$10000) * (A36&lt;='Machine Rental Cost'!$B$5:$B$10000), 0), 0) ) * G36, 0)</f>
        <v>0</v>
      </c>
      <c r="O36" s="9" t="str">
        <f>IFERROR( INDEX('Labour Cost'!$J$5:$J$10000, MATCH(1, INDEX( (A36&gt;='Labour Cost'!$A$5:$A$10000) * (A36&lt;='Labour Cost'!$B$5:$B$10000), 0), 0) ) * G36, 0)</f>
        <v>0</v>
      </c>
      <c r="P36" s="9" t="str">
        <f>IFERROR( INDEX('ACPM Cost'!$L$5:$L$10000, MATCH(1, INDEX( (A36&gt;='ACPM Cost'!$A$5:$A$10000) * (A36&lt;='ACPM Cost'!$B$5:$B$10000), 0), 0) ) * G36, 0)</f>
        <v>0</v>
      </c>
      <c r="Q36" s="9" t="str">
        <f>IFERROR( INDEX('Lubricants Cost'!$L$5:$L$10000, MATCH(1, INDEX( (A36&gt;='Lubricants Cost'!$A$5:$A$10000) * (A36&lt;='Lubricants Cost'!$B$5:$B$10000), 0), 0) ) * G36, 0)</f>
        <v>0</v>
      </c>
      <c r="R36" s="9" t="str">
        <f>IFERROR( INDEX('Miscellaneous'!$L$5:$L$10000, MATCH(1, INDEX( (A36&gt;='Miscellaneous'!$A$5:$A$10000) * (A36&lt;='Miscellaneous'!$B$5:$B$10000), 0), 0) ) * G36, 0)</f>
        <v>0</v>
      </c>
      <c r="S36" s="9" t="str">
        <f>SUM(H36:R36)</f>
        <v>0</v>
      </c>
    </row>
    <row r="37" spans="1:19">
      <c r="A37" s="10">
        <v>46020</v>
      </c>
      <c r="B37" s="2" t="s">
        <v>54</v>
      </c>
      <c r="C37" s="2" t="s">
        <v>20</v>
      </c>
      <c r="D37" s="2" t="s">
        <v>21</v>
      </c>
      <c r="E37" s="2" t="s">
        <v>22</v>
      </c>
      <c r="F37" s="7">
        <v>164</v>
      </c>
      <c r="G37" s="8">
        <v>19.018</v>
      </c>
      <c r="H37" s="9" t="str">
        <f>IFERROR( INDEX('Extraction Cost'!$L$5:$L$10000, MATCH(1, INDEX( (A37&gt;='Extraction Cost'!$A$5:$A$10000) * (A37&lt;='Extraction Cost'!$B$5:$B$10000), 0), 0) ) * G37, 0)</f>
        <v>0</v>
      </c>
      <c r="I37" s="9">
        <v>148644033.705</v>
      </c>
      <c r="J37" s="9">
        <v>350000</v>
      </c>
      <c r="K37" s="9">
        <v>3100000</v>
      </c>
      <c r="L37" s="9">
        <v>0</v>
      </c>
      <c r="M37" s="9" t="str">
        <f>IFERROR( INDEX('Maintenance Cost'!$J$5:$J$10000, MATCH(1, INDEX( (A37&gt;='Maintenance Cost'!$A$5:$A$10000) * (A37&lt;='Maintenance Cost'!$B$5:$B$10000), 0), 0) ) * G37, 0)</f>
        <v>0</v>
      </c>
      <c r="N37" s="9" t="str">
        <f>IFERROR( INDEX('Machine Rental Cost'!$J$5:$J$10000, MATCH(1, INDEX( (A37&gt;='Machine Rental Cost'!$A$5:$A$10000) * (A37&lt;='Machine Rental Cost'!$B$5:$B$10000), 0), 0) ) * G37, 0)</f>
        <v>0</v>
      </c>
      <c r="O37" s="9" t="str">
        <f>IFERROR( INDEX('Labour Cost'!$J$5:$J$10000, MATCH(1, INDEX( (A37&gt;='Labour Cost'!$A$5:$A$10000) * (A37&lt;='Labour Cost'!$B$5:$B$10000), 0), 0) ) * G37, 0)</f>
        <v>0</v>
      </c>
      <c r="P37" s="9" t="str">
        <f>IFERROR( INDEX('ACPM Cost'!$L$5:$L$10000, MATCH(1, INDEX( (A37&gt;='ACPM Cost'!$A$5:$A$10000) * (A37&lt;='ACPM Cost'!$B$5:$B$10000), 0), 0) ) * G37, 0)</f>
        <v>0</v>
      </c>
      <c r="Q37" s="9" t="str">
        <f>IFERROR( INDEX('Lubricants Cost'!$L$5:$L$10000, MATCH(1, INDEX( (A37&gt;='Lubricants Cost'!$A$5:$A$10000) * (A37&lt;='Lubricants Cost'!$B$5:$B$10000), 0), 0) ) * G37, 0)</f>
        <v>0</v>
      </c>
      <c r="R37" s="9" t="str">
        <f>IFERROR( INDEX('Miscellaneous'!$L$5:$L$10000, MATCH(1, INDEX( (A37&gt;='Miscellaneous'!$A$5:$A$10000) * (A37&lt;='Miscellaneous'!$B$5:$B$10000), 0), 0) ) * G37, 0)</f>
        <v>0</v>
      </c>
      <c r="S37" s="9" t="str">
        <f>SUM(H37:R37)</f>
        <v>0</v>
      </c>
    </row>
    <row r="38" spans="1:19">
      <c r="A38" s="10">
        <v>46020</v>
      </c>
      <c r="B38" s="2" t="s">
        <v>55</v>
      </c>
      <c r="C38" s="2" t="s">
        <v>20</v>
      </c>
      <c r="D38" s="2" t="s">
        <v>21</v>
      </c>
      <c r="E38" s="2" t="s">
        <v>22</v>
      </c>
      <c r="F38" s="7">
        <v>139</v>
      </c>
      <c r="G38" s="8">
        <v>20.27</v>
      </c>
      <c r="H38" s="9" t="str">
        <f>IFERROR( INDEX('Extraction Cost'!$L$5:$L$10000, MATCH(1, INDEX( (A38&gt;='Extraction Cost'!$A$5:$A$10000) * (A38&lt;='Extraction Cost'!$B$5:$B$10000), 0), 0) ) * G38, 0)</f>
        <v>0</v>
      </c>
      <c r="I38" s="9">
        <v>157758606</v>
      </c>
      <c r="J38" s="9">
        <v>350000</v>
      </c>
      <c r="K38" s="9">
        <v>3100000</v>
      </c>
      <c r="L38" s="9">
        <v>0</v>
      </c>
      <c r="M38" s="9" t="str">
        <f>IFERROR( INDEX('Maintenance Cost'!$J$5:$J$10000, MATCH(1, INDEX( (A38&gt;='Maintenance Cost'!$A$5:$A$10000) * (A38&lt;='Maintenance Cost'!$B$5:$B$10000), 0), 0) ) * G38, 0)</f>
        <v>0</v>
      </c>
      <c r="N38" s="9" t="str">
        <f>IFERROR( INDEX('Machine Rental Cost'!$J$5:$J$10000, MATCH(1, INDEX( (A38&gt;='Machine Rental Cost'!$A$5:$A$10000) * (A38&lt;='Machine Rental Cost'!$B$5:$B$10000), 0), 0) ) * G38, 0)</f>
        <v>0</v>
      </c>
      <c r="O38" s="9" t="str">
        <f>IFERROR( INDEX('Labour Cost'!$J$5:$J$10000, MATCH(1, INDEX( (A38&gt;='Labour Cost'!$A$5:$A$10000) * (A38&lt;='Labour Cost'!$B$5:$B$10000), 0), 0) ) * G38, 0)</f>
        <v>0</v>
      </c>
      <c r="P38" s="9" t="str">
        <f>IFERROR( INDEX('ACPM Cost'!$L$5:$L$10000, MATCH(1, INDEX( (A38&gt;='ACPM Cost'!$A$5:$A$10000) * (A38&lt;='ACPM Cost'!$B$5:$B$10000), 0), 0) ) * G38, 0)</f>
        <v>0</v>
      </c>
      <c r="Q38" s="9" t="str">
        <f>IFERROR( INDEX('Lubricants Cost'!$L$5:$L$10000, MATCH(1, INDEX( (A38&gt;='Lubricants Cost'!$A$5:$A$10000) * (A38&lt;='Lubricants Cost'!$B$5:$B$10000), 0), 0) ) * G38, 0)</f>
        <v>0</v>
      </c>
      <c r="R38" s="9" t="str">
        <f>IFERROR( INDEX('Miscellaneous'!$L$5:$L$10000, MATCH(1, INDEX( (A38&gt;='Miscellaneous'!$A$5:$A$10000) * (A38&lt;='Miscellaneous'!$B$5:$B$10000), 0), 0) ) * G38, 0)</f>
        <v>0</v>
      </c>
      <c r="S38" s="9" t="str">
        <f>SUM(H38:R38)</f>
        <v>0</v>
      </c>
    </row>
    <row r="39" spans="1:19">
      <c r="A39" s="10">
        <v>46020</v>
      </c>
      <c r="B39" s="2" t="s">
        <v>56</v>
      </c>
      <c r="C39" s="2" t="s">
        <v>20</v>
      </c>
      <c r="D39" s="2" t="s">
        <v>21</v>
      </c>
      <c r="E39" s="2" t="s">
        <v>22</v>
      </c>
      <c r="F39" s="7">
        <v>192</v>
      </c>
      <c r="G39" s="8">
        <v>19.673</v>
      </c>
      <c r="H39" s="9" t="str">
        <f>IFERROR( INDEX('Extraction Cost'!$L$5:$L$10000, MATCH(1, INDEX( (A39&gt;='Extraction Cost'!$A$5:$A$10000) * (A39&lt;='Extraction Cost'!$B$5:$B$10000), 0), 0) ) * G39, 0)</f>
        <v>0</v>
      </c>
      <c r="I39" s="9">
        <v>153969676.515</v>
      </c>
      <c r="J39" s="9">
        <v>350000</v>
      </c>
      <c r="K39" s="9">
        <v>3600000</v>
      </c>
      <c r="L39" s="9">
        <v>0</v>
      </c>
      <c r="M39" s="9" t="str">
        <f>IFERROR( INDEX('Maintenance Cost'!$J$5:$J$10000, MATCH(1, INDEX( (A39&gt;='Maintenance Cost'!$A$5:$A$10000) * (A39&lt;='Maintenance Cost'!$B$5:$B$10000), 0), 0) ) * G39, 0)</f>
        <v>0</v>
      </c>
      <c r="N39" s="9" t="str">
        <f>IFERROR( INDEX('Machine Rental Cost'!$J$5:$J$10000, MATCH(1, INDEX( (A39&gt;='Machine Rental Cost'!$A$5:$A$10000) * (A39&lt;='Machine Rental Cost'!$B$5:$B$10000), 0), 0) ) * G39, 0)</f>
        <v>0</v>
      </c>
      <c r="O39" s="9" t="str">
        <f>IFERROR( INDEX('Labour Cost'!$J$5:$J$10000, MATCH(1, INDEX( (A39&gt;='Labour Cost'!$A$5:$A$10000) * (A39&lt;='Labour Cost'!$B$5:$B$10000), 0), 0) ) * G39, 0)</f>
        <v>0</v>
      </c>
      <c r="P39" s="9" t="str">
        <f>IFERROR( INDEX('ACPM Cost'!$L$5:$L$10000, MATCH(1, INDEX( (A39&gt;='ACPM Cost'!$A$5:$A$10000) * (A39&lt;='ACPM Cost'!$B$5:$B$10000), 0), 0) ) * G39, 0)</f>
        <v>0</v>
      </c>
      <c r="Q39" s="9" t="str">
        <f>IFERROR( INDEX('Lubricants Cost'!$L$5:$L$10000, MATCH(1, INDEX( (A39&gt;='Lubricants Cost'!$A$5:$A$10000) * (A39&lt;='Lubricants Cost'!$B$5:$B$10000), 0), 0) ) * G39, 0)</f>
        <v>0</v>
      </c>
      <c r="R39" s="9" t="str">
        <f>IFERROR( INDEX('Miscellaneous'!$L$5:$L$10000, MATCH(1, INDEX( (A39&gt;='Miscellaneous'!$A$5:$A$10000) * (A39&lt;='Miscellaneous'!$B$5:$B$10000), 0), 0) ) * G39, 0)</f>
        <v>0</v>
      </c>
      <c r="S39" s="9" t="str">
        <f>SUM(H39:R39)</f>
        <v>0</v>
      </c>
    </row>
    <row r="40" spans="1:19">
      <c r="A40" s="10">
        <v>46021</v>
      </c>
      <c r="B40" s="2" t="s">
        <v>57</v>
      </c>
      <c r="C40" s="2" t="s">
        <v>20</v>
      </c>
      <c r="D40" s="2" t="s">
        <v>21</v>
      </c>
      <c r="E40" s="2" t="s">
        <v>22</v>
      </c>
      <c r="F40" s="7">
        <v>157</v>
      </c>
      <c r="G40" s="8">
        <v>19.541</v>
      </c>
      <c r="H40" s="9" t="str">
        <f>IFERROR( INDEX('Extraction Cost'!$L$5:$L$10000, MATCH(1, INDEX( (A40&gt;='Extraction Cost'!$A$5:$A$10000) * (A40&lt;='Extraction Cost'!$B$5:$B$10000), 0), 0) ) * G40, 0)</f>
        <v>0</v>
      </c>
      <c r="I40" s="9">
        <v>151739150.6925</v>
      </c>
      <c r="J40" s="9">
        <v>350000</v>
      </c>
      <c r="K40" s="9">
        <v>3100000</v>
      </c>
      <c r="L40" s="9">
        <v>0</v>
      </c>
      <c r="M40" s="9" t="str">
        <f>IFERROR( INDEX('Maintenance Cost'!$J$5:$J$10000, MATCH(1, INDEX( (A40&gt;='Maintenance Cost'!$A$5:$A$10000) * (A40&lt;='Maintenance Cost'!$B$5:$B$10000), 0), 0) ) * G40, 0)</f>
        <v>0</v>
      </c>
      <c r="N40" s="9" t="str">
        <f>IFERROR( INDEX('Machine Rental Cost'!$J$5:$J$10000, MATCH(1, INDEX( (A40&gt;='Machine Rental Cost'!$A$5:$A$10000) * (A40&lt;='Machine Rental Cost'!$B$5:$B$10000), 0), 0) ) * G40, 0)</f>
        <v>0</v>
      </c>
      <c r="O40" s="9" t="str">
        <f>IFERROR( INDEX('Labour Cost'!$J$5:$J$10000, MATCH(1, INDEX( (A40&gt;='Labour Cost'!$A$5:$A$10000) * (A40&lt;='Labour Cost'!$B$5:$B$10000), 0), 0) ) * G40, 0)</f>
        <v>0</v>
      </c>
      <c r="P40" s="9" t="str">
        <f>IFERROR( INDEX('ACPM Cost'!$L$5:$L$10000, MATCH(1, INDEX( (A40&gt;='ACPM Cost'!$A$5:$A$10000) * (A40&lt;='ACPM Cost'!$B$5:$B$10000), 0), 0) ) * G40, 0)</f>
        <v>0</v>
      </c>
      <c r="Q40" s="9" t="str">
        <f>IFERROR( INDEX('Lubricants Cost'!$L$5:$L$10000, MATCH(1, INDEX( (A40&gt;='Lubricants Cost'!$A$5:$A$10000) * (A40&lt;='Lubricants Cost'!$B$5:$B$10000), 0), 0) ) * G40, 0)</f>
        <v>0</v>
      </c>
      <c r="R40" s="9" t="str">
        <f>IFERROR( INDEX('Miscellaneous'!$L$5:$L$10000, MATCH(1, INDEX( (A40&gt;='Miscellaneous'!$A$5:$A$10000) * (A40&lt;='Miscellaneous'!$B$5:$B$10000), 0), 0) ) * G40, 0)</f>
        <v>0</v>
      </c>
      <c r="S40" s="9" t="str">
        <f>SUM(H40:R40)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S40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L131"/>
  <sheetViews>
    <sheetView tabSelected="0" workbookViewId="0" zoomScale="95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0" customWidth="true" style="0"/>
    <col min="5" max="5" width="25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</cols>
  <sheetData>
    <row r="3" spans="1:12">
      <c r="G3" s="4" t="str">
        <f>SUBTOTAL(9,G5:G40)</f>
        <v>0</v>
      </c>
      <c r="H3" s="5" t="str">
        <f>SUBTOTAL(9,H5:H40)</f>
        <v>0</v>
      </c>
    </row>
    <row r="4" spans="1:12">
      <c r="A4" s="1" t="s">
        <v>58</v>
      </c>
      <c r="B4" s="1" t="s">
        <v>59</v>
      </c>
      <c r="C4" s="1" t="s">
        <v>2</v>
      </c>
      <c r="D4" s="1" t="s">
        <v>3</v>
      </c>
      <c r="E4" s="1" t="s">
        <v>4</v>
      </c>
      <c r="F4" s="1" t="s">
        <v>60</v>
      </c>
      <c r="G4" s="1" t="s">
        <v>5</v>
      </c>
      <c r="H4" s="1" t="s">
        <v>6</v>
      </c>
      <c r="I4" s="1" t="s">
        <v>61</v>
      </c>
      <c r="J4" s="1" t="s">
        <v>62</v>
      </c>
      <c r="K4" s="1" t="s">
        <v>63</v>
      </c>
      <c r="L4" s="1" t="s">
        <v>64</v>
      </c>
    </row>
    <row r="5" spans="1:12">
      <c r="A5" s="10">
        <v>45664</v>
      </c>
      <c r="B5" s="10" t="str">
        <f>IF(A6="", A5, A6-1)</f>
        <v>0</v>
      </c>
      <c r="C5" s="2" t="s">
        <v>20</v>
      </c>
      <c r="D5" s="2" t="s">
        <v>21</v>
      </c>
      <c r="E5" s="2" t="s">
        <v>22</v>
      </c>
      <c r="F5" s="7">
        <v>1</v>
      </c>
      <c r="G5" s="7">
        <v>1</v>
      </c>
      <c r="H5" s="8">
        <v>0.086</v>
      </c>
      <c r="I5" s="9">
        <v>13000</v>
      </c>
      <c r="J5" s="9" t="str">
        <f>I5/F5</f>
        <v>0</v>
      </c>
      <c r="K5" s="9" t="str">
        <f>I5/G5</f>
        <v>0</v>
      </c>
      <c r="L5" s="9" t="str">
        <f>I5/H5</f>
        <v>0</v>
      </c>
    </row>
    <row r="6" spans="1:12">
      <c r="A6" s="10">
        <v>45901</v>
      </c>
      <c r="B6" s="10" t="str">
        <f>IF(A7="", A6, A7-1)</f>
        <v>0</v>
      </c>
      <c r="C6" s="2" t="s">
        <v>20</v>
      </c>
      <c r="D6" s="2" t="s">
        <v>21</v>
      </c>
      <c r="E6" s="2" t="s">
        <v>22</v>
      </c>
      <c r="F6" s="7">
        <v>1</v>
      </c>
      <c r="G6" s="7">
        <v>10</v>
      </c>
      <c r="H6" s="8">
        <v>2.478</v>
      </c>
      <c r="I6" s="9">
        <v>13000</v>
      </c>
      <c r="J6" s="9" t="str">
        <f>I6/F6</f>
        <v>0</v>
      </c>
      <c r="K6" s="9" t="str">
        <f>I6/G6</f>
        <v>0</v>
      </c>
      <c r="L6" s="9" t="str">
        <f>I6/H6</f>
        <v>0</v>
      </c>
    </row>
    <row r="7" spans="1:12">
      <c r="A7" s="10">
        <v>45902</v>
      </c>
      <c r="B7" s="10" t="str">
        <f>IF(A8="", A7, A8-1)</f>
        <v>0</v>
      </c>
      <c r="C7" s="2" t="s">
        <v>20</v>
      </c>
      <c r="D7" s="2" t="s">
        <v>21</v>
      </c>
      <c r="E7" s="2" t="s">
        <v>22</v>
      </c>
      <c r="F7" s="7">
        <v>1</v>
      </c>
      <c r="G7" s="7">
        <v>10</v>
      </c>
      <c r="H7" s="8">
        <v>2.478</v>
      </c>
      <c r="I7" s="9">
        <v>13000</v>
      </c>
      <c r="J7" s="9" t="str">
        <f>I7/F7</f>
        <v>0</v>
      </c>
      <c r="K7" s="9" t="str">
        <f>I7/G7</f>
        <v>0</v>
      </c>
      <c r="L7" s="9" t="str">
        <f>I7/H7</f>
        <v>0</v>
      </c>
    </row>
    <row r="8" spans="1:12">
      <c r="A8" s="10">
        <v>45903</v>
      </c>
      <c r="B8" s="10" t="str">
        <f>IF(A9="", A8, A9-1)</f>
        <v>0</v>
      </c>
      <c r="C8" s="2" t="s">
        <v>20</v>
      </c>
      <c r="D8" s="2" t="s">
        <v>21</v>
      </c>
      <c r="E8" s="2" t="s">
        <v>22</v>
      </c>
      <c r="F8" s="7">
        <v>1</v>
      </c>
      <c r="G8" s="7">
        <v>10</v>
      </c>
      <c r="H8" s="8">
        <v>2.478</v>
      </c>
      <c r="I8" s="9">
        <v>13000</v>
      </c>
      <c r="J8" s="9" t="str">
        <f>I8/F8</f>
        <v>0</v>
      </c>
      <c r="K8" s="9" t="str">
        <f>I8/G8</f>
        <v>0</v>
      </c>
      <c r="L8" s="9" t="str">
        <f>I8/H8</f>
        <v>0</v>
      </c>
    </row>
    <row r="9" spans="1:12">
      <c r="A9" s="10">
        <v>45904</v>
      </c>
      <c r="B9" s="10" t="str">
        <f>IF(A10="", A9, A10-1)</f>
        <v>0</v>
      </c>
      <c r="C9" s="2" t="s">
        <v>20</v>
      </c>
      <c r="D9" s="2" t="s">
        <v>21</v>
      </c>
      <c r="E9" s="2" t="s">
        <v>22</v>
      </c>
      <c r="F9" s="7">
        <v>1</v>
      </c>
      <c r="G9" s="7">
        <v>10</v>
      </c>
      <c r="H9" s="8">
        <v>2.478</v>
      </c>
      <c r="I9" s="9">
        <v>13000</v>
      </c>
      <c r="J9" s="9" t="str">
        <f>I9/F9</f>
        <v>0</v>
      </c>
      <c r="K9" s="9" t="str">
        <f>I9/G9</f>
        <v>0</v>
      </c>
      <c r="L9" s="9" t="str">
        <f>I9/H9</f>
        <v>0</v>
      </c>
    </row>
    <row r="10" spans="1:12">
      <c r="A10" s="10">
        <v>45905</v>
      </c>
      <c r="B10" s="10" t="str">
        <f>IF(A11="", A10, A11-1)</f>
        <v>0</v>
      </c>
      <c r="C10" s="2" t="s">
        <v>20</v>
      </c>
      <c r="D10" s="2" t="s">
        <v>21</v>
      </c>
      <c r="E10" s="2" t="s">
        <v>22</v>
      </c>
      <c r="F10" s="7">
        <v>1</v>
      </c>
      <c r="G10" s="7">
        <v>10</v>
      </c>
      <c r="H10" s="8">
        <v>2.478</v>
      </c>
      <c r="I10" s="9">
        <v>13000</v>
      </c>
      <c r="J10" s="9" t="str">
        <f>I10/F10</f>
        <v>0</v>
      </c>
      <c r="K10" s="9" t="str">
        <f>I10/G10</f>
        <v>0</v>
      </c>
      <c r="L10" s="9" t="str">
        <f>I10/H10</f>
        <v>0</v>
      </c>
    </row>
    <row r="11" spans="1:12">
      <c r="A11" s="10">
        <v>45906</v>
      </c>
      <c r="B11" s="10" t="str">
        <f>IF(A12="", A11, A12-1)</f>
        <v>0</v>
      </c>
      <c r="C11" s="2" t="s">
        <v>20</v>
      </c>
      <c r="D11" s="2" t="s">
        <v>21</v>
      </c>
      <c r="E11" s="2" t="s">
        <v>22</v>
      </c>
      <c r="F11" s="7">
        <v>1</v>
      </c>
      <c r="G11" s="7">
        <v>10</v>
      </c>
      <c r="H11" s="8">
        <v>2.478</v>
      </c>
      <c r="I11" s="9">
        <v>13000</v>
      </c>
      <c r="J11" s="9" t="str">
        <f>I11/F11</f>
        <v>0</v>
      </c>
      <c r="K11" s="9" t="str">
        <f>I11/G11</f>
        <v>0</v>
      </c>
      <c r="L11" s="9" t="str">
        <f>I11/H11</f>
        <v>0</v>
      </c>
    </row>
    <row r="12" spans="1:12">
      <c r="A12" s="10">
        <v>45907</v>
      </c>
      <c r="B12" s="10" t="str">
        <f>IF(A13="", A12, A13-1)</f>
        <v>0</v>
      </c>
      <c r="C12" s="2" t="s">
        <v>20</v>
      </c>
      <c r="D12" s="2" t="s">
        <v>21</v>
      </c>
      <c r="E12" s="2" t="s">
        <v>22</v>
      </c>
      <c r="F12" s="7">
        <v>1</v>
      </c>
      <c r="G12" s="7">
        <v>10</v>
      </c>
      <c r="H12" s="8">
        <v>2.478</v>
      </c>
      <c r="I12" s="9">
        <v>13000</v>
      </c>
      <c r="J12" s="9" t="str">
        <f>I12/F12</f>
        <v>0</v>
      </c>
      <c r="K12" s="9" t="str">
        <f>I12/G12</f>
        <v>0</v>
      </c>
      <c r="L12" s="9" t="str">
        <f>I12/H12</f>
        <v>0</v>
      </c>
    </row>
    <row r="13" spans="1:12">
      <c r="A13" s="10">
        <v>45908</v>
      </c>
      <c r="B13" s="10" t="str">
        <f>IF(A14="", A13, A14-1)</f>
        <v>0</v>
      </c>
      <c r="C13" s="2" t="s">
        <v>20</v>
      </c>
      <c r="D13" s="2" t="s">
        <v>21</v>
      </c>
      <c r="E13" s="2" t="s">
        <v>22</v>
      </c>
      <c r="F13" s="7">
        <v>1</v>
      </c>
      <c r="G13" s="7">
        <v>10</v>
      </c>
      <c r="H13" s="8">
        <v>2.478</v>
      </c>
      <c r="I13" s="9">
        <v>13000</v>
      </c>
      <c r="J13" s="9" t="str">
        <f>I13/F13</f>
        <v>0</v>
      </c>
      <c r="K13" s="9" t="str">
        <f>I13/G13</f>
        <v>0</v>
      </c>
      <c r="L13" s="9" t="str">
        <f>I13/H13</f>
        <v>0</v>
      </c>
    </row>
    <row r="14" spans="1:12">
      <c r="A14" s="10">
        <v>45909</v>
      </c>
      <c r="B14" s="10" t="str">
        <f>IF(A15="", A14, A15-1)</f>
        <v>0</v>
      </c>
      <c r="C14" s="2" t="s">
        <v>20</v>
      </c>
      <c r="D14" s="2" t="s">
        <v>21</v>
      </c>
      <c r="E14" s="2" t="s">
        <v>22</v>
      </c>
      <c r="F14" s="7">
        <v>1</v>
      </c>
      <c r="G14" s="7">
        <v>10</v>
      </c>
      <c r="H14" s="8">
        <v>2.478</v>
      </c>
      <c r="I14" s="9">
        <v>13000</v>
      </c>
      <c r="J14" s="9" t="str">
        <f>I14/F14</f>
        <v>0</v>
      </c>
      <c r="K14" s="9" t="str">
        <f>I14/G14</f>
        <v>0</v>
      </c>
      <c r="L14" s="9" t="str">
        <f>I14/H14</f>
        <v>0</v>
      </c>
    </row>
    <row r="15" spans="1:12">
      <c r="A15" s="10">
        <v>45910</v>
      </c>
      <c r="B15" s="10" t="str">
        <f>IF(A16="", A15, A16-1)</f>
        <v>0</v>
      </c>
      <c r="C15" s="2" t="s">
        <v>20</v>
      </c>
      <c r="D15" s="2" t="s">
        <v>21</v>
      </c>
      <c r="E15" s="2" t="s">
        <v>22</v>
      </c>
      <c r="F15" s="7">
        <v>1</v>
      </c>
      <c r="G15" s="7">
        <v>10</v>
      </c>
      <c r="H15" s="8">
        <v>2.478</v>
      </c>
      <c r="I15" s="9">
        <v>13000</v>
      </c>
      <c r="J15" s="9" t="str">
        <f>I15/F15</f>
        <v>0</v>
      </c>
      <c r="K15" s="9" t="str">
        <f>I15/G15</f>
        <v>0</v>
      </c>
      <c r="L15" s="9" t="str">
        <f>I15/H15</f>
        <v>0</v>
      </c>
    </row>
    <row r="16" spans="1:12">
      <c r="A16" s="10">
        <v>45911</v>
      </c>
      <c r="B16" s="10" t="str">
        <f>IF(A17="", A16, A17-1)</f>
        <v>0</v>
      </c>
      <c r="C16" s="2" t="s">
        <v>20</v>
      </c>
      <c r="D16" s="2" t="s">
        <v>21</v>
      </c>
      <c r="E16" s="2" t="s">
        <v>22</v>
      </c>
      <c r="F16" s="7">
        <v>1</v>
      </c>
      <c r="G16" s="7">
        <v>10</v>
      </c>
      <c r="H16" s="8">
        <v>2.478</v>
      </c>
      <c r="I16" s="9">
        <v>13000</v>
      </c>
      <c r="J16" s="9" t="str">
        <f>I16/F16</f>
        <v>0</v>
      </c>
      <c r="K16" s="9" t="str">
        <f>I16/G16</f>
        <v>0</v>
      </c>
      <c r="L16" s="9" t="str">
        <f>I16/H16</f>
        <v>0</v>
      </c>
    </row>
    <row r="17" spans="1:12">
      <c r="A17" s="10">
        <v>45912</v>
      </c>
      <c r="B17" s="10" t="str">
        <f>IF(A18="", A17, A18-1)</f>
        <v>0</v>
      </c>
      <c r="C17" s="2" t="s">
        <v>20</v>
      </c>
      <c r="D17" s="2" t="s">
        <v>21</v>
      </c>
      <c r="E17" s="2" t="s">
        <v>22</v>
      </c>
      <c r="F17" s="7">
        <v>1</v>
      </c>
      <c r="G17" s="7">
        <v>10</v>
      </c>
      <c r="H17" s="8">
        <v>2.478</v>
      </c>
      <c r="I17" s="9">
        <v>13000</v>
      </c>
      <c r="J17" s="9" t="str">
        <f>I17/F17</f>
        <v>0</v>
      </c>
      <c r="K17" s="9" t="str">
        <f>I17/G17</f>
        <v>0</v>
      </c>
      <c r="L17" s="9" t="str">
        <f>I17/H17</f>
        <v>0</v>
      </c>
    </row>
    <row r="18" spans="1:12">
      <c r="A18" s="10">
        <v>45913</v>
      </c>
      <c r="B18" s="10" t="str">
        <f>IF(A19="", A18, A19-1)</f>
        <v>0</v>
      </c>
      <c r="C18" s="2" t="s">
        <v>20</v>
      </c>
      <c r="D18" s="2" t="s">
        <v>21</v>
      </c>
      <c r="E18" s="2" t="s">
        <v>22</v>
      </c>
      <c r="F18" s="7">
        <v>1</v>
      </c>
      <c r="G18" s="7">
        <v>10</v>
      </c>
      <c r="H18" s="8">
        <v>2.478</v>
      </c>
      <c r="I18" s="9">
        <v>13000</v>
      </c>
      <c r="J18" s="9" t="str">
        <f>I18/F18</f>
        <v>0</v>
      </c>
      <c r="K18" s="9" t="str">
        <f>I18/G18</f>
        <v>0</v>
      </c>
      <c r="L18" s="9" t="str">
        <f>I18/H18</f>
        <v>0</v>
      </c>
    </row>
    <row r="19" spans="1:12">
      <c r="A19" s="10">
        <v>45914</v>
      </c>
      <c r="B19" s="10" t="str">
        <f>IF(A20="", A19, A20-1)</f>
        <v>0</v>
      </c>
      <c r="C19" s="2" t="s">
        <v>20</v>
      </c>
      <c r="D19" s="2" t="s">
        <v>21</v>
      </c>
      <c r="E19" s="2" t="s">
        <v>22</v>
      </c>
      <c r="F19" s="7">
        <v>1</v>
      </c>
      <c r="G19" s="7">
        <v>10</v>
      </c>
      <c r="H19" s="8">
        <v>2.478</v>
      </c>
      <c r="I19" s="9">
        <v>13000</v>
      </c>
      <c r="J19" s="9" t="str">
        <f>I19/F19</f>
        <v>0</v>
      </c>
      <c r="K19" s="9" t="str">
        <f>I19/G19</f>
        <v>0</v>
      </c>
      <c r="L19" s="9" t="str">
        <f>I19/H19</f>
        <v>0</v>
      </c>
    </row>
    <row r="20" spans="1:12">
      <c r="A20" s="10">
        <v>45915</v>
      </c>
      <c r="B20" s="10" t="str">
        <f>IF(A21="", A20, A21-1)</f>
        <v>0</v>
      </c>
      <c r="C20" s="2" t="s">
        <v>20</v>
      </c>
      <c r="D20" s="2" t="s">
        <v>21</v>
      </c>
      <c r="E20" s="2" t="s">
        <v>22</v>
      </c>
      <c r="F20" s="7">
        <v>1</v>
      </c>
      <c r="G20" s="7">
        <v>10</v>
      </c>
      <c r="H20" s="8">
        <v>2.478</v>
      </c>
      <c r="I20" s="9">
        <v>13000</v>
      </c>
      <c r="J20" s="9" t="str">
        <f>I20/F20</f>
        <v>0</v>
      </c>
      <c r="K20" s="9" t="str">
        <f>I20/G20</f>
        <v>0</v>
      </c>
      <c r="L20" s="9" t="str">
        <f>I20/H20</f>
        <v>0</v>
      </c>
    </row>
    <row r="21" spans="1:12">
      <c r="A21" s="10">
        <v>45916</v>
      </c>
      <c r="B21" s="10" t="str">
        <f>IF(A22="", A21, A22-1)</f>
        <v>0</v>
      </c>
      <c r="C21" s="2" t="s">
        <v>20</v>
      </c>
      <c r="D21" s="2" t="s">
        <v>21</v>
      </c>
      <c r="E21" s="2" t="s">
        <v>22</v>
      </c>
      <c r="F21" s="7">
        <v>1</v>
      </c>
      <c r="G21" s="7">
        <v>10</v>
      </c>
      <c r="H21" s="8">
        <v>2.478</v>
      </c>
      <c r="I21" s="9">
        <v>13000</v>
      </c>
      <c r="J21" s="9" t="str">
        <f>I21/F21</f>
        <v>0</v>
      </c>
      <c r="K21" s="9" t="str">
        <f>I21/G21</f>
        <v>0</v>
      </c>
      <c r="L21" s="9" t="str">
        <f>I21/H21</f>
        <v>0</v>
      </c>
    </row>
    <row r="22" spans="1:12">
      <c r="A22" s="10">
        <v>45917</v>
      </c>
      <c r="B22" s="10" t="str">
        <f>IF(A23="", A22, A23-1)</f>
        <v>0</v>
      </c>
      <c r="C22" s="2" t="s">
        <v>20</v>
      </c>
      <c r="D22" s="2" t="s">
        <v>21</v>
      </c>
      <c r="E22" s="2" t="s">
        <v>22</v>
      </c>
      <c r="F22" s="7">
        <v>1</v>
      </c>
      <c r="G22" s="7">
        <v>10</v>
      </c>
      <c r="H22" s="8">
        <v>2.478</v>
      </c>
      <c r="I22" s="9">
        <v>13000</v>
      </c>
      <c r="J22" s="9" t="str">
        <f>I22/F22</f>
        <v>0</v>
      </c>
      <c r="K22" s="9" t="str">
        <f>I22/G22</f>
        <v>0</v>
      </c>
      <c r="L22" s="9" t="str">
        <f>I22/H22</f>
        <v>0</v>
      </c>
    </row>
    <row r="23" spans="1:12">
      <c r="A23" s="10">
        <v>45918</v>
      </c>
      <c r="B23" s="10" t="str">
        <f>IF(A24="", A23, A24-1)</f>
        <v>0</v>
      </c>
      <c r="C23" s="2" t="s">
        <v>20</v>
      </c>
      <c r="D23" s="2" t="s">
        <v>21</v>
      </c>
      <c r="E23" s="2" t="s">
        <v>22</v>
      </c>
      <c r="F23" s="7">
        <v>1</v>
      </c>
      <c r="G23" s="7">
        <v>10</v>
      </c>
      <c r="H23" s="8">
        <v>2.478</v>
      </c>
      <c r="I23" s="9">
        <v>13000</v>
      </c>
      <c r="J23" s="9" t="str">
        <f>I23/F23</f>
        <v>0</v>
      </c>
      <c r="K23" s="9" t="str">
        <f>I23/G23</f>
        <v>0</v>
      </c>
      <c r="L23" s="9" t="str">
        <f>I23/H23</f>
        <v>0</v>
      </c>
    </row>
    <row r="24" spans="1:12">
      <c r="A24" s="10">
        <v>45919</v>
      </c>
      <c r="B24" s="10" t="str">
        <f>IF(A25="", A24, A25-1)</f>
        <v>0</v>
      </c>
      <c r="C24" s="2" t="s">
        <v>20</v>
      </c>
      <c r="D24" s="2" t="s">
        <v>21</v>
      </c>
      <c r="E24" s="2" t="s">
        <v>22</v>
      </c>
      <c r="F24" s="7">
        <v>1</v>
      </c>
      <c r="G24" s="7">
        <v>10</v>
      </c>
      <c r="H24" s="8">
        <v>2.478</v>
      </c>
      <c r="I24" s="9">
        <v>13000</v>
      </c>
      <c r="J24" s="9" t="str">
        <f>I24/F24</f>
        <v>0</v>
      </c>
      <c r="K24" s="9" t="str">
        <f>I24/G24</f>
        <v>0</v>
      </c>
      <c r="L24" s="9" t="str">
        <f>I24/H24</f>
        <v>0</v>
      </c>
    </row>
    <row r="25" spans="1:12">
      <c r="A25" s="10">
        <v>45920</v>
      </c>
      <c r="B25" s="10" t="str">
        <f>IF(A26="", A25, A26-1)</f>
        <v>0</v>
      </c>
      <c r="C25" s="2" t="s">
        <v>20</v>
      </c>
      <c r="D25" s="2" t="s">
        <v>21</v>
      </c>
      <c r="E25" s="2" t="s">
        <v>22</v>
      </c>
      <c r="F25" s="7">
        <v>1</v>
      </c>
      <c r="G25" s="7">
        <v>10</v>
      </c>
      <c r="H25" s="8">
        <v>2.478</v>
      </c>
      <c r="I25" s="9">
        <v>13000</v>
      </c>
      <c r="J25" s="9" t="str">
        <f>I25/F25</f>
        <v>0</v>
      </c>
      <c r="K25" s="9" t="str">
        <f>I25/G25</f>
        <v>0</v>
      </c>
      <c r="L25" s="9" t="str">
        <f>I25/H25</f>
        <v>0</v>
      </c>
    </row>
    <row r="26" spans="1:12">
      <c r="A26" s="10">
        <v>45921</v>
      </c>
      <c r="B26" s="10" t="str">
        <f>IF(A27="", A26, A27-1)</f>
        <v>0</v>
      </c>
      <c r="C26" s="2" t="s">
        <v>20</v>
      </c>
      <c r="D26" s="2" t="s">
        <v>21</v>
      </c>
      <c r="E26" s="2" t="s">
        <v>22</v>
      </c>
      <c r="F26" s="7">
        <v>1</v>
      </c>
      <c r="G26" s="7">
        <v>10</v>
      </c>
      <c r="H26" s="8">
        <v>2.478</v>
      </c>
      <c r="I26" s="9">
        <v>13000</v>
      </c>
      <c r="J26" s="9" t="str">
        <f>I26/F26</f>
        <v>0</v>
      </c>
      <c r="K26" s="9" t="str">
        <f>I26/G26</f>
        <v>0</v>
      </c>
      <c r="L26" s="9" t="str">
        <f>I26/H26</f>
        <v>0</v>
      </c>
    </row>
    <row r="27" spans="1:12">
      <c r="A27" s="10">
        <v>45922</v>
      </c>
      <c r="B27" s="10" t="str">
        <f>IF(A28="", A27, A28-1)</f>
        <v>0</v>
      </c>
      <c r="C27" s="2" t="s">
        <v>20</v>
      </c>
      <c r="D27" s="2" t="s">
        <v>21</v>
      </c>
      <c r="E27" s="2" t="s">
        <v>22</v>
      </c>
      <c r="F27" s="7">
        <v>1</v>
      </c>
      <c r="G27" s="7">
        <v>10</v>
      </c>
      <c r="H27" s="8">
        <v>2.478</v>
      </c>
      <c r="I27" s="9">
        <v>13000</v>
      </c>
      <c r="J27" s="9" t="str">
        <f>I27/F27</f>
        <v>0</v>
      </c>
      <c r="K27" s="9" t="str">
        <f>I27/G27</f>
        <v>0</v>
      </c>
      <c r="L27" s="9" t="str">
        <f>I27/H27</f>
        <v>0</v>
      </c>
    </row>
    <row r="28" spans="1:12">
      <c r="A28" s="10">
        <v>45923</v>
      </c>
      <c r="B28" s="10" t="str">
        <f>IF(A29="", A28, A29-1)</f>
        <v>0</v>
      </c>
      <c r="C28" s="2" t="s">
        <v>20</v>
      </c>
      <c r="D28" s="2" t="s">
        <v>21</v>
      </c>
      <c r="E28" s="2" t="s">
        <v>22</v>
      </c>
      <c r="F28" s="7">
        <v>1</v>
      </c>
      <c r="G28" s="7">
        <v>10</v>
      </c>
      <c r="H28" s="8">
        <v>2.478</v>
      </c>
      <c r="I28" s="9">
        <v>13000</v>
      </c>
      <c r="J28" s="9" t="str">
        <f>I28/F28</f>
        <v>0</v>
      </c>
      <c r="K28" s="9" t="str">
        <f>I28/G28</f>
        <v>0</v>
      </c>
      <c r="L28" s="9" t="str">
        <f>I28/H28</f>
        <v>0</v>
      </c>
    </row>
    <row r="29" spans="1:12">
      <c r="A29" s="10">
        <v>45924</v>
      </c>
      <c r="B29" s="10" t="str">
        <f>IF(A30="", A29, A30-1)</f>
        <v>0</v>
      </c>
      <c r="C29" s="2" t="s">
        <v>20</v>
      </c>
      <c r="D29" s="2" t="s">
        <v>21</v>
      </c>
      <c r="E29" s="2" t="s">
        <v>22</v>
      </c>
      <c r="F29" s="7">
        <v>1</v>
      </c>
      <c r="G29" s="7">
        <v>10</v>
      </c>
      <c r="H29" s="8">
        <v>2.478</v>
      </c>
      <c r="I29" s="9">
        <v>13000</v>
      </c>
      <c r="J29" s="9" t="str">
        <f>I29/F29</f>
        <v>0</v>
      </c>
      <c r="K29" s="9" t="str">
        <f>I29/G29</f>
        <v>0</v>
      </c>
      <c r="L29" s="9" t="str">
        <f>I29/H29</f>
        <v>0</v>
      </c>
    </row>
    <row r="30" spans="1:12">
      <c r="A30" s="10">
        <v>45925</v>
      </c>
      <c r="B30" s="10" t="str">
        <f>IF(A31="", A30, A31-1)</f>
        <v>0</v>
      </c>
      <c r="C30" s="2" t="s">
        <v>20</v>
      </c>
      <c r="D30" s="2" t="s">
        <v>21</v>
      </c>
      <c r="E30" s="2" t="s">
        <v>22</v>
      </c>
      <c r="F30" s="7">
        <v>1</v>
      </c>
      <c r="G30" s="7">
        <v>10</v>
      </c>
      <c r="H30" s="8">
        <v>2.478</v>
      </c>
      <c r="I30" s="9">
        <v>13000</v>
      </c>
      <c r="J30" s="9" t="str">
        <f>I30/F30</f>
        <v>0</v>
      </c>
      <c r="K30" s="9" t="str">
        <f>I30/G30</f>
        <v>0</v>
      </c>
      <c r="L30" s="9" t="str">
        <f>I30/H30</f>
        <v>0</v>
      </c>
    </row>
    <row r="31" spans="1:12">
      <c r="A31" s="10">
        <v>45926</v>
      </c>
      <c r="B31" s="10" t="str">
        <f>IF(A32="", A31, A32-1)</f>
        <v>0</v>
      </c>
      <c r="C31" s="2" t="s">
        <v>20</v>
      </c>
      <c r="D31" s="2" t="s">
        <v>21</v>
      </c>
      <c r="E31" s="2" t="s">
        <v>22</v>
      </c>
      <c r="F31" s="7">
        <v>1</v>
      </c>
      <c r="G31" s="7">
        <v>10</v>
      </c>
      <c r="H31" s="8">
        <v>2.478</v>
      </c>
      <c r="I31" s="9">
        <v>13000</v>
      </c>
      <c r="J31" s="9" t="str">
        <f>I31/F31</f>
        <v>0</v>
      </c>
      <c r="K31" s="9" t="str">
        <f>I31/G31</f>
        <v>0</v>
      </c>
      <c r="L31" s="9" t="str">
        <f>I31/H31</f>
        <v>0</v>
      </c>
    </row>
    <row r="32" spans="1:12">
      <c r="A32" s="10">
        <v>45927</v>
      </c>
      <c r="B32" s="10" t="str">
        <f>IF(A33="", A32, A33-1)</f>
        <v>0</v>
      </c>
      <c r="C32" s="2" t="s">
        <v>20</v>
      </c>
      <c r="D32" s="2" t="s">
        <v>21</v>
      </c>
      <c r="E32" s="2" t="s">
        <v>22</v>
      </c>
      <c r="F32" s="7">
        <v>1</v>
      </c>
      <c r="G32" s="7">
        <v>10</v>
      </c>
      <c r="H32" s="8">
        <v>2.478</v>
      </c>
      <c r="I32" s="9">
        <v>13000</v>
      </c>
      <c r="J32" s="9" t="str">
        <f>I32/F32</f>
        <v>0</v>
      </c>
      <c r="K32" s="9" t="str">
        <f>I32/G32</f>
        <v>0</v>
      </c>
      <c r="L32" s="9" t="str">
        <f>I32/H32</f>
        <v>0</v>
      </c>
    </row>
    <row r="33" spans="1:12">
      <c r="A33" s="10">
        <v>45928</v>
      </c>
      <c r="B33" s="10" t="str">
        <f>IF(A34="", A33, A34-1)</f>
        <v>0</v>
      </c>
      <c r="C33" s="2" t="s">
        <v>20</v>
      </c>
      <c r="D33" s="2" t="s">
        <v>21</v>
      </c>
      <c r="E33" s="2" t="s">
        <v>22</v>
      </c>
      <c r="F33" s="7">
        <v>1</v>
      </c>
      <c r="G33" s="7">
        <v>10</v>
      </c>
      <c r="H33" s="8">
        <v>2.478</v>
      </c>
      <c r="I33" s="9">
        <v>13000</v>
      </c>
      <c r="J33" s="9" t="str">
        <f>I33/F33</f>
        <v>0</v>
      </c>
      <c r="K33" s="9" t="str">
        <f>I33/G33</f>
        <v>0</v>
      </c>
      <c r="L33" s="9" t="str">
        <f>I33/H33</f>
        <v>0</v>
      </c>
    </row>
    <row r="34" spans="1:12">
      <c r="A34" s="10">
        <v>45929</v>
      </c>
      <c r="B34" s="10" t="str">
        <f>IF(A35="", A34, A35-1)</f>
        <v>0</v>
      </c>
      <c r="C34" s="2" t="s">
        <v>20</v>
      </c>
      <c r="D34" s="2" t="s">
        <v>21</v>
      </c>
      <c r="E34" s="2" t="s">
        <v>22</v>
      </c>
      <c r="F34" s="7">
        <v>1</v>
      </c>
      <c r="G34" s="7">
        <v>10</v>
      </c>
      <c r="H34" s="8">
        <v>2.478</v>
      </c>
      <c r="I34" s="9">
        <v>13000</v>
      </c>
      <c r="J34" s="9" t="str">
        <f>I34/F34</f>
        <v>0</v>
      </c>
      <c r="K34" s="9" t="str">
        <f>I34/G34</f>
        <v>0</v>
      </c>
      <c r="L34" s="9" t="str">
        <f>I34/H34</f>
        <v>0</v>
      </c>
    </row>
    <row r="35" spans="1:12">
      <c r="A35" s="10">
        <v>45930</v>
      </c>
      <c r="B35" s="10" t="str">
        <f>IF(A36="", A35, A36-1)</f>
        <v>0</v>
      </c>
      <c r="C35" s="2" t="s">
        <v>20</v>
      </c>
      <c r="D35" s="2" t="s">
        <v>21</v>
      </c>
      <c r="E35" s="2" t="s">
        <v>22</v>
      </c>
      <c r="F35" s="7">
        <v>1</v>
      </c>
      <c r="G35" s="7">
        <v>10</v>
      </c>
      <c r="H35" s="8">
        <v>2.478</v>
      </c>
      <c r="I35" s="9">
        <v>13000</v>
      </c>
      <c r="J35" s="9" t="str">
        <f>I35/F35</f>
        <v>0</v>
      </c>
      <c r="K35" s="9" t="str">
        <f>I35/G35</f>
        <v>0</v>
      </c>
      <c r="L35" s="9" t="str">
        <f>I35/H35</f>
        <v>0</v>
      </c>
    </row>
    <row r="36" spans="1:12">
      <c r="A36" s="10">
        <v>45931</v>
      </c>
      <c r="B36" s="10" t="str">
        <f>IF(A37="", A36, A37-1)</f>
        <v>0</v>
      </c>
      <c r="C36" s="2" t="s">
        <v>20</v>
      </c>
      <c r="D36" s="2" t="s">
        <v>21</v>
      </c>
      <c r="E36" s="2" t="s">
        <v>22</v>
      </c>
      <c r="F36" s="7">
        <v>1</v>
      </c>
      <c r="G36" s="7">
        <v>10</v>
      </c>
      <c r="H36" s="8">
        <v>2.478</v>
      </c>
      <c r="I36" s="9">
        <v>13000</v>
      </c>
      <c r="J36" s="9" t="str">
        <f>I36/F36</f>
        <v>0</v>
      </c>
      <c r="K36" s="9" t="str">
        <f>I36/G36</f>
        <v>0</v>
      </c>
      <c r="L36" s="9" t="str">
        <f>I36/H36</f>
        <v>0</v>
      </c>
    </row>
    <row r="37" spans="1:12">
      <c r="A37" s="10">
        <v>45932</v>
      </c>
      <c r="B37" s="10" t="str">
        <f>IF(A38="", A37, A38-1)</f>
        <v>0</v>
      </c>
      <c r="C37" s="2" t="s">
        <v>20</v>
      </c>
      <c r="D37" s="2" t="s">
        <v>21</v>
      </c>
      <c r="E37" s="2" t="s">
        <v>22</v>
      </c>
      <c r="F37" s="7">
        <v>1</v>
      </c>
      <c r="G37" s="7">
        <v>10</v>
      </c>
      <c r="H37" s="8">
        <v>2.478</v>
      </c>
      <c r="I37" s="9">
        <v>13000</v>
      </c>
      <c r="J37" s="9" t="str">
        <f>I37/F37</f>
        <v>0</v>
      </c>
      <c r="K37" s="9" t="str">
        <f>I37/G37</f>
        <v>0</v>
      </c>
      <c r="L37" s="9" t="str">
        <f>I37/H37</f>
        <v>0</v>
      </c>
    </row>
    <row r="38" spans="1:12">
      <c r="A38" s="10">
        <v>45933</v>
      </c>
      <c r="B38" s="10" t="str">
        <f>IF(A39="", A38, A39-1)</f>
        <v>0</v>
      </c>
      <c r="C38" s="2" t="s">
        <v>20</v>
      </c>
      <c r="D38" s="2" t="s">
        <v>21</v>
      </c>
      <c r="E38" s="2" t="s">
        <v>22</v>
      </c>
      <c r="F38" s="7">
        <v>1</v>
      </c>
      <c r="G38" s="7">
        <v>10</v>
      </c>
      <c r="H38" s="8">
        <v>2.478</v>
      </c>
      <c r="I38" s="9">
        <v>13000</v>
      </c>
      <c r="J38" s="9" t="str">
        <f>I38/F38</f>
        <v>0</v>
      </c>
      <c r="K38" s="9" t="str">
        <f>I38/G38</f>
        <v>0</v>
      </c>
      <c r="L38" s="9" t="str">
        <f>I38/H38</f>
        <v>0</v>
      </c>
    </row>
    <row r="39" spans="1:12">
      <c r="A39" s="10">
        <v>45934</v>
      </c>
      <c r="B39" s="10" t="str">
        <f>IF(A40="", A39, A40-1)</f>
        <v>0</v>
      </c>
      <c r="C39" s="2" t="s">
        <v>20</v>
      </c>
      <c r="D39" s="2" t="s">
        <v>21</v>
      </c>
      <c r="E39" s="2" t="s">
        <v>22</v>
      </c>
      <c r="F39" s="7">
        <v>1</v>
      </c>
      <c r="G39" s="7">
        <v>10</v>
      </c>
      <c r="H39" s="8">
        <v>2.478</v>
      </c>
      <c r="I39" s="9">
        <v>13000</v>
      </c>
      <c r="J39" s="9" t="str">
        <f>I39/F39</f>
        <v>0</v>
      </c>
      <c r="K39" s="9" t="str">
        <f>I39/G39</f>
        <v>0</v>
      </c>
      <c r="L39" s="9" t="str">
        <f>I39/H39</f>
        <v>0</v>
      </c>
    </row>
    <row r="40" spans="1:12">
      <c r="A40" s="10">
        <v>45935</v>
      </c>
      <c r="B40" s="10" t="str">
        <f>IF(A41="", A40, A41-1)</f>
        <v>0</v>
      </c>
      <c r="C40" s="2" t="s">
        <v>20</v>
      </c>
      <c r="D40" s="2" t="s">
        <v>21</v>
      </c>
      <c r="E40" s="2" t="s">
        <v>22</v>
      </c>
      <c r="F40" s="7">
        <v>1</v>
      </c>
      <c r="G40" s="7">
        <v>10</v>
      </c>
      <c r="H40" s="8">
        <v>2.478</v>
      </c>
      <c r="I40" s="9">
        <v>13000</v>
      </c>
      <c r="J40" s="9" t="str">
        <f>I40/F40</f>
        <v>0</v>
      </c>
      <c r="K40" s="9" t="str">
        <f>I40/G40</f>
        <v>0</v>
      </c>
      <c r="L40" s="9" t="str">
        <f>I40/H40</f>
        <v>0</v>
      </c>
    </row>
    <row r="41" spans="1:12">
      <c r="A41" s="10">
        <v>45936</v>
      </c>
      <c r="B41" s="10" t="str">
        <f>IF(A42="", A41, A42-1)</f>
        <v>0</v>
      </c>
      <c r="C41" s="2" t="s">
        <v>20</v>
      </c>
      <c r="D41" s="2" t="s">
        <v>21</v>
      </c>
      <c r="E41" s="2" t="s">
        <v>22</v>
      </c>
      <c r="F41" s="7">
        <v>1</v>
      </c>
      <c r="G41" s="7">
        <v>10</v>
      </c>
      <c r="H41" s="8">
        <v>2.478</v>
      </c>
      <c r="I41" s="9">
        <v>13000</v>
      </c>
      <c r="J41" s="9" t="str">
        <f>I41/F41</f>
        <v>0</v>
      </c>
      <c r="K41" s="9" t="str">
        <f>I41/G41</f>
        <v>0</v>
      </c>
      <c r="L41" s="9" t="str">
        <f>I41/H41</f>
        <v>0</v>
      </c>
    </row>
    <row r="42" spans="1:12">
      <c r="A42" s="10">
        <v>45937</v>
      </c>
      <c r="B42" s="10" t="str">
        <f>IF(A43="", A42, A43-1)</f>
        <v>0</v>
      </c>
      <c r="C42" s="2" t="s">
        <v>20</v>
      </c>
      <c r="D42" s="2" t="s">
        <v>21</v>
      </c>
      <c r="E42" s="2" t="s">
        <v>22</v>
      </c>
      <c r="F42" s="7">
        <v>1</v>
      </c>
      <c r="G42" s="7">
        <v>10</v>
      </c>
      <c r="H42" s="8">
        <v>2.478</v>
      </c>
      <c r="I42" s="9">
        <v>13000</v>
      </c>
      <c r="J42" s="9" t="str">
        <f>I42/F42</f>
        <v>0</v>
      </c>
      <c r="K42" s="9" t="str">
        <f>I42/G42</f>
        <v>0</v>
      </c>
      <c r="L42" s="9" t="str">
        <f>I42/H42</f>
        <v>0</v>
      </c>
    </row>
    <row r="43" spans="1:12">
      <c r="A43" s="10">
        <v>45938</v>
      </c>
      <c r="B43" s="10" t="str">
        <f>IF(A44="", A43, A44-1)</f>
        <v>0</v>
      </c>
      <c r="C43" s="2" t="s">
        <v>20</v>
      </c>
      <c r="D43" s="2" t="s">
        <v>21</v>
      </c>
      <c r="E43" s="2" t="s">
        <v>22</v>
      </c>
      <c r="F43" s="7">
        <v>1</v>
      </c>
      <c r="G43" s="7">
        <v>10</v>
      </c>
      <c r="H43" s="8">
        <v>2.478</v>
      </c>
      <c r="I43" s="9">
        <v>13000</v>
      </c>
      <c r="J43" s="9" t="str">
        <f>I43/F43</f>
        <v>0</v>
      </c>
      <c r="K43" s="9" t="str">
        <f>I43/G43</f>
        <v>0</v>
      </c>
      <c r="L43" s="9" t="str">
        <f>I43/H43</f>
        <v>0</v>
      </c>
    </row>
    <row r="44" spans="1:12">
      <c r="A44" s="10">
        <v>45939</v>
      </c>
      <c r="B44" s="10" t="str">
        <f>IF(A45="", A44, A45-1)</f>
        <v>0</v>
      </c>
      <c r="C44" s="2" t="s">
        <v>20</v>
      </c>
      <c r="D44" s="2" t="s">
        <v>21</v>
      </c>
      <c r="E44" s="2" t="s">
        <v>22</v>
      </c>
      <c r="F44" s="7">
        <v>1</v>
      </c>
      <c r="G44" s="7">
        <v>10</v>
      </c>
      <c r="H44" s="8">
        <v>2.478</v>
      </c>
      <c r="I44" s="9">
        <v>13000</v>
      </c>
      <c r="J44" s="9" t="str">
        <f>I44/F44</f>
        <v>0</v>
      </c>
      <c r="K44" s="9" t="str">
        <f>I44/G44</f>
        <v>0</v>
      </c>
      <c r="L44" s="9" t="str">
        <f>I44/H44</f>
        <v>0</v>
      </c>
    </row>
    <row r="45" spans="1:12">
      <c r="A45" s="10">
        <v>45940</v>
      </c>
      <c r="B45" s="10" t="str">
        <f>IF(A46="", A45, A46-1)</f>
        <v>0</v>
      </c>
      <c r="C45" s="2" t="s">
        <v>20</v>
      </c>
      <c r="D45" s="2" t="s">
        <v>21</v>
      </c>
      <c r="E45" s="2" t="s">
        <v>22</v>
      </c>
      <c r="F45" s="7">
        <v>1</v>
      </c>
      <c r="G45" s="7">
        <v>10</v>
      </c>
      <c r="H45" s="8">
        <v>2.478</v>
      </c>
      <c r="I45" s="9">
        <v>13000</v>
      </c>
      <c r="J45" s="9" t="str">
        <f>I45/F45</f>
        <v>0</v>
      </c>
      <c r="K45" s="9" t="str">
        <f>I45/G45</f>
        <v>0</v>
      </c>
      <c r="L45" s="9" t="str">
        <f>I45/H45</f>
        <v>0</v>
      </c>
    </row>
    <row r="46" spans="1:12">
      <c r="A46" s="10">
        <v>45941</v>
      </c>
      <c r="B46" s="10" t="str">
        <f>IF(A47="", A46, A47-1)</f>
        <v>0</v>
      </c>
      <c r="C46" s="2" t="s">
        <v>20</v>
      </c>
      <c r="D46" s="2" t="s">
        <v>21</v>
      </c>
      <c r="E46" s="2" t="s">
        <v>22</v>
      </c>
      <c r="F46" s="7">
        <v>1</v>
      </c>
      <c r="G46" s="7">
        <v>10</v>
      </c>
      <c r="H46" s="8">
        <v>2.478</v>
      </c>
      <c r="I46" s="9">
        <v>13000</v>
      </c>
      <c r="J46" s="9" t="str">
        <f>I46/F46</f>
        <v>0</v>
      </c>
      <c r="K46" s="9" t="str">
        <f>I46/G46</f>
        <v>0</v>
      </c>
      <c r="L46" s="9" t="str">
        <f>I46/H46</f>
        <v>0</v>
      </c>
    </row>
    <row r="47" spans="1:12">
      <c r="A47" s="10">
        <v>45942</v>
      </c>
      <c r="B47" s="10" t="str">
        <f>IF(A48="", A47, A48-1)</f>
        <v>0</v>
      </c>
      <c r="C47" s="2" t="s">
        <v>20</v>
      </c>
      <c r="D47" s="2" t="s">
        <v>21</v>
      </c>
      <c r="E47" s="2" t="s">
        <v>22</v>
      </c>
      <c r="F47" s="7">
        <v>1</v>
      </c>
      <c r="G47" s="7">
        <v>10</v>
      </c>
      <c r="H47" s="8">
        <v>2.478</v>
      </c>
      <c r="I47" s="9">
        <v>13000</v>
      </c>
      <c r="J47" s="9" t="str">
        <f>I47/F47</f>
        <v>0</v>
      </c>
      <c r="K47" s="9" t="str">
        <f>I47/G47</f>
        <v>0</v>
      </c>
      <c r="L47" s="9" t="str">
        <f>I47/H47</f>
        <v>0</v>
      </c>
    </row>
    <row r="48" spans="1:12">
      <c r="A48" s="10">
        <v>45943</v>
      </c>
      <c r="B48" s="10" t="str">
        <f>IF(A49="", A48, A49-1)</f>
        <v>0</v>
      </c>
      <c r="C48" s="2" t="s">
        <v>20</v>
      </c>
      <c r="D48" s="2" t="s">
        <v>21</v>
      </c>
      <c r="E48" s="2" t="s">
        <v>22</v>
      </c>
      <c r="F48" s="7">
        <v>1</v>
      </c>
      <c r="G48" s="7">
        <v>10</v>
      </c>
      <c r="H48" s="8">
        <v>2.478</v>
      </c>
      <c r="I48" s="9">
        <v>13000</v>
      </c>
      <c r="J48" s="9" t="str">
        <f>I48/F48</f>
        <v>0</v>
      </c>
      <c r="K48" s="9" t="str">
        <f>I48/G48</f>
        <v>0</v>
      </c>
      <c r="L48" s="9" t="str">
        <f>I48/H48</f>
        <v>0</v>
      </c>
    </row>
    <row r="49" spans="1:12">
      <c r="A49" s="10">
        <v>45944</v>
      </c>
      <c r="B49" s="10" t="str">
        <f>IF(A50="", A49, A50-1)</f>
        <v>0</v>
      </c>
      <c r="C49" s="2" t="s">
        <v>20</v>
      </c>
      <c r="D49" s="2" t="s">
        <v>21</v>
      </c>
      <c r="E49" s="2" t="s">
        <v>22</v>
      </c>
      <c r="F49" s="7">
        <v>1</v>
      </c>
      <c r="G49" s="7">
        <v>10</v>
      </c>
      <c r="H49" s="8">
        <v>2.478</v>
      </c>
      <c r="I49" s="9">
        <v>13000</v>
      </c>
      <c r="J49" s="9" t="str">
        <f>I49/F49</f>
        <v>0</v>
      </c>
      <c r="K49" s="9" t="str">
        <f>I49/G49</f>
        <v>0</v>
      </c>
      <c r="L49" s="9" t="str">
        <f>I49/H49</f>
        <v>0</v>
      </c>
    </row>
    <row r="50" spans="1:12">
      <c r="A50" s="10">
        <v>45945</v>
      </c>
      <c r="B50" s="10" t="str">
        <f>IF(A51="", A50, A51-1)</f>
        <v>0</v>
      </c>
      <c r="C50" s="2" t="s">
        <v>20</v>
      </c>
      <c r="D50" s="2" t="s">
        <v>21</v>
      </c>
      <c r="E50" s="2" t="s">
        <v>22</v>
      </c>
      <c r="F50" s="7">
        <v>1</v>
      </c>
      <c r="G50" s="7">
        <v>10</v>
      </c>
      <c r="H50" s="8">
        <v>2.478</v>
      </c>
      <c r="I50" s="9">
        <v>13000</v>
      </c>
      <c r="J50" s="9" t="str">
        <f>I50/F50</f>
        <v>0</v>
      </c>
      <c r="K50" s="9" t="str">
        <f>I50/G50</f>
        <v>0</v>
      </c>
      <c r="L50" s="9" t="str">
        <f>I50/H50</f>
        <v>0</v>
      </c>
    </row>
    <row r="51" spans="1:12">
      <c r="A51" s="10">
        <v>45946</v>
      </c>
      <c r="B51" s="10" t="str">
        <f>IF(A52="", A51, A52-1)</f>
        <v>0</v>
      </c>
      <c r="C51" s="2" t="s">
        <v>20</v>
      </c>
      <c r="D51" s="2" t="s">
        <v>21</v>
      </c>
      <c r="E51" s="2" t="s">
        <v>22</v>
      </c>
      <c r="F51" s="7">
        <v>1</v>
      </c>
      <c r="G51" s="7">
        <v>10</v>
      </c>
      <c r="H51" s="8">
        <v>2.478</v>
      </c>
      <c r="I51" s="9">
        <v>13000</v>
      </c>
      <c r="J51" s="9" t="str">
        <f>I51/F51</f>
        <v>0</v>
      </c>
      <c r="K51" s="9" t="str">
        <f>I51/G51</f>
        <v>0</v>
      </c>
      <c r="L51" s="9" t="str">
        <f>I51/H51</f>
        <v>0</v>
      </c>
    </row>
    <row r="52" spans="1:12">
      <c r="A52" s="10">
        <v>45947</v>
      </c>
      <c r="B52" s="10" t="str">
        <f>IF(A53="", A52, A53-1)</f>
        <v>0</v>
      </c>
      <c r="C52" s="2" t="s">
        <v>20</v>
      </c>
      <c r="D52" s="2" t="s">
        <v>21</v>
      </c>
      <c r="E52" s="2" t="s">
        <v>22</v>
      </c>
      <c r="F52" s="7">
        <v>1</v>
      </c>
      <c r="G52" s="7">
        <v>10</v>
      </c>
      <c r="H52" s="8">
        <v>2.478</v>
      </c>
      <c r="I52" s="9">
        <v>13000</v>
      </c>
      <c r="J52" s="9" t="str">
        <f>I52/F52</f>
        <v>0</v>
      </c>
      <c r="K52" s="9" t="str">
        <f>I52/G52</f>
        <v>0</v>
      </c>
      <c r="L52" s="9" t="str">
        <f>I52/H52</f>
        <v>0</v>
      </c>
    </row>
    <row r="53" spans="1:12">
      <c r="A53" s="10">
        <v>45948</v>
      </c>
      <c r="B53" s="10" t="str">
        <f>IF(A54="", A53, A54-1)</f>
        <v>0</v>
      </c>
      <c r="C53" s="2" t="s">
        <v>20</v>
      </c>
      <c r="D53" s="2" t="s">
        <v>21</v>
      </c>
      <c r="E53" s="2" t="s">
        <v>22</v>
      </c>
      <c r="F53" s="7">
        <v>1</v>
      </c>
      <c r="G53" s="7">
        <v>10</v>
      </c>
      <c r="H53" s="8">
        <v>2.478</v>
      </c>
      <c r="I53" s="9">
        <v>13000</v>
      </c>
      <c r="J53" s="9" t="str">
        <f>I53/F53</f>
        <v>0</v>
      </c>
      <c r="K53" s="9" t="str">
        <f>I53/G53</f>
        <v>0</v>
      </c>
      <c r="L53" s="9" t="str">
        <f>I53/H53</f>
        <v>0</v>
      </c>
    </row>
    <row r="54" spans="1:12">
      <c r="A54" s="10">
        <v>45949</v>
      </c>
      <c r="B54" s="10" t="str">
        <f>IF(A55="", A54, A55-1)</f>
        <v>0</v>
      </c>
      <c r="C54" s="2" t="s">
        <v>20</v>
      </c>
      <c r="D54" s="2" t="s">
        <v>21</v>
      </c>
      <c r="E54" s="2" t="s">
        <v>22</v>
      </c>
      <c r="F54" s="7">
        <v>1</v>
      </c>
      <c r="G54" s="7">
        <v>10</v>
      </c>
      <c r="H54" s="8">
        <v>2.478</v>
      </c>
      <c r="I54" s="9">
        <v>13000</v>
      </c>
      <c r="J54" s="9" t="str">
        <f>I54/F54</f>
        <v>0</v>
      </c>
      <c r="K54" s="9" t="str">
        <f>I54/G54</f>
        <v>0</v>
      </c>
      <c r="L54" s="9" t="str">
        <f>I54/H54</f>
        <v>0</v>
      </c>
    </row>
    <row r="55" spans="1:12">
      <c r="A55" s="10">
        <v>45950</v>
      </c>
      <c r="B55" s="10" t="str">
        <f>IF(A56="", A55, A56-1)</f>
        <v>0</v>
      </c>
      <c r="C55" s="2" t="s">
        <v>20</v>
      </c>
      <c r="D55" s="2" t="s">
        <v>21</v>
      </c>
      <c r="E55" s="2" t="s">
        <v>22</v>
      </c>
      <c r="F55" s="7">
        <v>1</v>
      </c>
      <c r="G55" s="7">
        <v>10</v>
      </c>
      <c r="H55" s="8">
        <v>2.478</v>
      </c>
      <c r="I55" s="9">
        <v>13000</v>
      </c>
      <c r="J55" s="9" t="str">
        <f>I55/F55</f>
        <v>0</v>
      </c>
      <c r="K55" s="9" t="str">
        <f>I55/G55</f>
        <v>0</v>
      </c>
      <c r="L55" s="9" t="str">
        <f>I55/H55</f>
        <v>0</v>
      </c>
    </row>
    <row r="56" spans="1:12">
      <c r="A56" s="10">
        <v>45951</v>
      </c>
      <c r="B56" s="10" t="str">
        <f>IF(A57="", A56, A57-1)</f>
        <v>0</v>
      </c>
      <c r="C56" s="2" t="s">
        <v>20</v>
      </c>
      <c r="D56" s="2" t="s">
        <v>21</v>
      </c>
      <c r="E56" s="2" t="s">
        <v>22</v>
      </c>
      <c r="F56" s="7">
        <v>1</v>
      </c>
      <c r="G56" s="7">
        <v>10</v>
      </c>
      <c r="H56" s="8">
        <v>2.478</v>
      </c>
      <c r="I56" s="9">
        <v>13000</v>
      </c>
      <c r="J56" s="9" t="str">
        <f>I56/F56</f>
        <v>0</v>
      </c>
      <c r="K56" s="9" t="str">
        <f>I56/G56</f>
        <v>0</v>
      </c>
      <c r="L56" s="9" t="str">
        <f>I56/H56</f>
        <v>0</v>
      </c>
    </row>
    <row r="57" spans="1:12">
      <c r="A57" s="10">
        <v>45952</v>
      </c>
      <c r="B57" s="10" t="str">
        <f>IF(A58="", A57, A58-1)</f>
        <v>0</v>
      </c>
      <c r="C57" s="2" t="s">
        <v>20</v>
      </c>
      <c r="D57" s="2" t="s">
        <v>21</v>
      </c>
      <c r="E57" s="2" t="s">
        <v>22</v>
      </c>
      <c r="F57" s="7">
        <v>1</v>
      </c>
      <c r="G57" s="7">
        <v>10</v>
      </c>
      <c r="H57" s="8">
        <v>2.478</v>
      </c>
      <c r="I57" s="9">
        <v>13000</v>
      </c>
      <c r="J57" s="9" t="str">
        <f>I57/F57</f>
        <v>0</v>
      </c>
      <c r="K57" s="9" t="str">
        <f>I57/G57</f>
        <v>0</v>
      </c>
      <c r="L57" s="9" t="str">
        <f>I57/H57</f>
        <v>0</v>
      </c>
    </row>
    <row r="58" spans="1:12">
      <c r="A58" s="10">
        <v>45953</v>
      </c>
      <c r="B58" s="10" t="str">
        <f>IF(A59="", A58, A59-1)</f>
        <v>0</v>
      </c>
      <c r="C58" s="2" t="s">
        <v>20</v>
      </c>
      <c r="D58" s="2" t="s">
        <v>21</v>
      </c>
      <c r="E58" s="2" t="s">
        <v>22</v>
      </c>
      <c r="F58" s="7">
        <v>1</v>
      </c>
      <c r="G58" s="7">
        <v>10</v>
      </c>
      <c r="H58" s="8">
        <v>2.478</v>
      </c>
      <c r="I58" s="9">
        <v>13000</v>
      </c>
      <c r="J58" s="9" t="str">
        <f>I58/F58</f>
        <v>0</v>
      </c>
      <c r="K58" s="9" t="str">
        <f>I58/G58</f>
        <v>0</v>
      </c>
      <c r="L58" s="9" t="str">
        <f>I58/H58</f>
        <v>0</v>
      </c>
    </row>
    <row r="59" spans="1:12">
      <c r="A59" s="10">
        <v>45954</v>
      </c>
      <c r="B59" s="10" t="str">
        <f>IF(A60="", A59, A60-1)</f>
        <v>0</v>
      </c>
      <c r="C59" s="2" t="s">
        <v>20</v>
      </c>
      <c r="D59" s="2" t="s">
        <v>21</v>
      </c>
      <c r="E59" s="2" t="s">
        <v>22</v>
      </c>
      <c r="F59" s="7">
        <v>1</v>
      </c>
      <c r="G59" s="7">
        <v>10</v>
      </c>
      <c r="H59" s="8">
        <v>2.478</v>
      </c>
      <c r="I59" s="9">
        <v>13000</v>
      </c>
      <c r="J59" s="9" t="str">
        <f>I59/F59</f>
        <v>0</v>
      </c>
      <c r="K59" s="9" t="str">
        <f>I59/G59</f>
        <v>0</v>
      </c>
      <c r="L59" s="9" t="str">
        <f>I59/H59</f>
        <v>0</v>
      </c>
    </row>
    <row r="60" spans="1:12">
      <c r="A60" s="10">
        <v>45955</v>
      </c>
      <c r="B60" s="10" t="str">
        <f>IF(A61="", A60, A61-1)</f>
        <v>0</v>
      </c>
      <c r="C60" s="2" t="s">
        <v>20</v>
      </c>
      <c r="D60" s="2" t="s">
        <v>21</v>
      </c>
      <c r="E60" s="2" t="s">
        <v>22</v>
      </c>
      <c r="F60" s="7">
        <v>1</v>
      </c>
      <c r="G60" s="7">
        <v>10</v>
      </c>
      <c r="H60" s="8">
        <v>2.478</v>
      </c>
      <c r="I60" s="9">
        <v>13000</v>
      </c>
      <c r="J60" s="9" t="str">
        <f>I60/F60</f>
        <v>0</v>
      </c>
      <c r="K60" s="9" t="str">
        <f>I60/G60</f>
        <v>0</v>
      </c>
      <c r="L60" s="9" t="str">
        <f>I60/H60</f>
        <v>0</v>
      </c>
    </row>
    <row r="61" spans="1:12">
      <c r="A61" s="10">
        <v>45956</v>
      </c>
      <c r="B61" s="10" t="str">
        <f>IF(A62="", A61, A62-1)</f>
        <v>0</v>
      </c>
      <c r="C61" s="2" t="s">
        <v>20</v>
      </c>
      <c r="D61" s="2" t="s">
        <v>21</v>
      </c>
      <c r="E61" s="2" t="s">
        <v>22</v>
      </c>
      <c r="F61" s="7">
        <v>1</v>
      </c>
      <c r="G61" s="7">
        <v>10</v>
      </c>
      <c r="H61" s="8">
        <v>2.478</v>
      </c>
      <c r="I61" s="9">
        <v>13000</v>
      </c>
      <c r="J61" s="9" t="str">
        <f>I61/F61</f>
        <v>0</v>
      </c>
      <c r="K61" s="9" t="str">
        <f>I61/G61</f>
        <v>0</v>
      </c>
      <c r="L61" s="9" t="str">
        <f>I61/H61</f>
        <v>0</v>
      </c>
    </row>
    <row r="62" spans="1:12">
      <c r="A62" s="10">
        <v>45957</v>
      </c>
      <c r="B62" s="10" t="str">
        <f>IF(A63="", A62, A63-1)</f>
        <v>0</v>
      </c>
      <c r="C62" s="2" t="s">
        <v>20</v>
      </c>
      <c r="D62" s="2" t="s">
        <v>21</v>
      </c>
      <c r="E62" s="2" t="s">
        <v>22</v>
      </c>
      <c r="F62" s="7">
        <v>1</v>
      </c>
      <c r="G62" s="7">
        <v>10</v>
      </c>
      <c r="H62" s="8">
        <v>2.478</v>
      </c>
      <c r="I62" s="9">
        <v>13000</v>
      </c>
      <c r="J62" s="9" t="str">
        <f>I62/F62</f>
        <v>0</v>
      </c>
      <c r="K62" s="9" t="str">
        <f>I62/G62</f>
        <v>0</v>
      </c>
      <c r="L62" s="9" t="str">
        <f>I62/H62</f>
        <v>0</v>
      </c>
    </row>
    <row r="63" spans="1:12">
      <c r="A63" s="10">
        <v>45958</v>
      </c>
      <c r="B63" s="10" t="str">
        <f>IF(A64="", A63, A64-1)</f>
        <v>0</v>
      </c>
      <c r="C63" s="2" t="s">
        <v>20</v>
      </c>
      <c r="D63" s="2" t="s">
        <v>21</v>
      </c>
      <c r="E63" s="2" t="s">
        <v>22</v>
      </c>
      <c r="F63" s="7">
        <v>1</v>
      </c>
      <c r="G63" s="7">
        <v>10</v>
      </c>
      <c r="H63" s="8">
        <v>2.478</v>
      </c>
      <c r="I63" s="9">
        <v>13000</v>
      </c>
      <c r="J63" s="9" t="str">
        <f>I63/F63</f>
        <v>0</v>
      </c>
      <c r="K63" s="9" t="str">
        <f>I63/G63</f>
        <v>0</v>
      </c>
      <c r="L63" s="9" t="str">
        <f>I63/H63</f>
        <v>0</v>
      </c>
    </row>
    <row r="64" spans="1:12">
      <c r="A64" s="10">
        <v>45959</v>
      </c>
      <c r="B64" s="10" t="str">
        <f>IF(A65="", A64, A65-1)</f>
        <v>0</v>
      </c>
      <c r="C64" s="2" t="s">
        <v>20</v>
      </c>
      <c r="D64" s="2" t="s">
        <v>21</v>
      </c>
      <c r="E64" s="2" t="s">
        <v>22</v>
      </c>
      <c r="F64" s="7">
        <v>1</v>
      </c>
      <c r="G64" s="7">
        <v>10</v>
      </c>
      <c r="H64" s="8">
        <v>2.478</v>
      </c>
      <c r="I64" s="9">
        <v>13000</v>
      </c>
      <c r="J64" s="9" t="str">
        <f>I64/F64</f>
        <v>0</v>
      </c>
      <c r="K64" s="9" t="str">
        <f>I64/G64</f>
        <v>0</v>
      </c>
      <c r="L64" s="9" t="str">
        <f>I64/H64</f>
        <v>0</v>
      </c>
    </row>
    <row r="65" spans="1:12">
      <c r="A65" s="10">
        <v>45960</v>
      </c>
      <c r="B65" s="10" t="str">
        <f>IF(A66="", A65, A66-1)</f>
        <v>0</v>
      </c>
      <c r="C65" s="2" t="s">
        <v>20</v>
      </c>
      <c r="D65" s="2" t="s">
        <v>21</v>
      </c>
      <c r="E65" s="2" t="s">
        <v>22</v>
      </c>
      <c r="F65" s="7">
        <v>1</v>
      </c>
      <c r="G65" s="7">
        <v>10</v>
      </c>
      <c r="H65" s="8">
        <v>2.478</v>
      </c>
      <c r="I65" s="9">
        <v>13000</v>
      </c>
      <c r="J65" s="9" t="str">
        <f>I65/F65</f>
        <v>0</v>
      </c>
      <c r="K65" s="9" t="str">
        <f>I65/G65</f>
        <v>0</v>
      </c>
      <c r="L65" s="9" t="str">
        <f>I65/H65</f>
        <v>0</v>
      </c>
    </row>
    <row r="66" spans="1:12">
      <c r="A66" s="10">
        <v>45961</v>
      </c>
      <c r="B66" s="10" t="str">
        <f>IF(A67="", A66, A67-1)</f>
        <v>0</v>
      </c>
      <c r="C66" s="2" t="s">
        <v>20</v>
      </c>
      <c r="D66" s="2" t="s">
        <v>21</v>
      </c>
      <c r="E66" s="2" t="s">
        <v>22</v>
      </c>
      <c r="F66" s="7">
        <v>1</v>
      </c>
      <c r="G66" s="7">
        <v>10</v>
      </c>
      <c r="H66" s="8">
        <v>2.478</v>
      </c>
      <c r="I66" s="9">
        <v>13000</v>
      </c>
      <c r="J66" s="9" t="str">
        <f>I66/F66</f>
        <v>0</v>
      </c>
      <c r="K66" s="9" t="str">
        <f>I66/G66</f>
        <v>0</v>
      </c>
      <c r="L66" s="9" t="str">
        <f>I66/H66</f>
        <v>0</v>
      </c>
    </row>
    <row r="67" spans="1:12">
      <c r="A67" s="10">
        <v>45962</v>
      </c>
      <c r="B67" s="10" t="str">
        <f>IF(A68="", A67, A68-1)</f>
        <v>0</v>
      </c>
      <c r="C67" s="2" t="s">
        <v>20</v>
      </c>
      <c r="D67" s="2" t="s">
        <v>21</v>
      </c>
      <c r="E67" s="2" t="s">
        <v>22</v>
      </c>
      <c r="F67" s="7">
        <v>1</v>
      </c>
      <c r="G67" s="7">
        <v>10</v>
      </c>
      <c r="H67" s="8">
        <v>2.478</v>
      </c>
      <c r="I67" s="9">
        <v>13000</v>
      </c>
      <c r="J67" s="9" t="str">
        <f>I67/F67</f>
        <v>0</v>
      </c>
      <c r="K67" s="9" t="str">
        <f>I67/G67</f>
        <v>0</v>
      </c>
      <c r="L67" s="9" t="str">
        <f>I67/H67</f>
        <v>0</v>
      </c>
    </row>
    <row r="68" spans="1:12">
      <c r="A68" s="10">
        <v>45963</v>
      </c>
      <c r="B68" s="10" t="str">
        <f>IF(A69="", A68, A69-1)</f>
        <v>0</v>
      </c>
      <c r="C68" s="2" t="s">
        <v>20</v>
      </c>
      <c r="D68" s="2" t="s">
        <v>21</v>
      </c>
      <c r="E68" s="2" t="s">
        <v>22</v>
      </c>
      <c r="F68" s="7">
        <v>1</v>
      </c>
      <c r="G68" s="7">
        <v>10</v>
      </c>
      <c r="H68" s="8">
        <v>2.478</v>
      </c>
      <c r="I68" s="9">
        <v>13000</v>
      </c>
      <c r="J68" s="9" t="str">
        <f>I68/F68</f>
        <v>0</v>
      </c>
      <c r="K68" s="9" t="str">
        <f>I68/G68</f>
        <v>0</v>
      </c>
      <c r="L68" s="9" t="str">
        <f>I68/H68</f>
        <v>0</v>
      </c>
    </row>
    <row r="69" spans="1:12">
      <c r="A69" s="10">
        <v>45964</v>
      </c>
      <c r="B69" s="10" t="str">
        <f>IF(A70="", A69, A70-1)</f>
        <v>0</v>
      </c>
      <c r="C69" s="2" t="s">
        <v>20</v>
      </c>
      <c r="D69" s="2" t="s">
        <v>21</v>
      </c>
      <c r="E69" s="2" t="s">
        <v>22</v>
      </c>
      <c r="F69" s="7">
        <v>1</v>
      </c>
      <c r="G69" s="7">
        <v>10</v>
      </c>
      <c r="H69" s="8">
        <v>2.478</v>
      </c>
      <c r="I69" s="9">
        <v>13000</v>
      </c>
      <c r="J69" s="9" t="str">
        <f>I69/F69</f>
        <v>0</v>
      </c>
      <c r="K69" s="9" t="str">
        <f>I69/G69</f>
        <v>0</v>
      </c>
      <c r="L69" s="9" t="str">
        <f>I69/H69</f>
        <v>0</v>
      </c>
    </row>
    <row r="70" spans="1:12">
      <c r="A70" s="10">
        <v>45965</v>
      </c>
      <c r="B70" s="10" t="str">
        <f>IF(A71="", A70, A71-1)</f>
        <v>0</v>
      </c>
      <c r="C70" s="2" t="s">
        <v>20</v>
      </c>
      <c r="D70" s="2" t="s">
        <v>21</v>
      </c>
      <c r="E70" s="2" t="s">
        <v>22</v>
      </c>
      <c r="F70" s="7">
        <v>1</v>
      </c>
      <c r="G70" s="7">
        <v>10</v>
      </c>
      <c r="H70" s="8">
        <v>2.478</v>
      </c>
      <c r="I70" s="9">
        <v>13000</v>
      </c>
      <c r="J70" s="9" t="str">
        <f>I70/F70</f>
        <v>0</v>
      </c>
      <c r="K70" s="9" t="str">
        <f>I70/G70</f>
        <v>0</v>
      </c>
      <c r="L70" s="9" t="str">
        <f>I70/H70</f>
        <v>0</v>
      </c>
    </row>
    <row r="71" spans="1:12">
      <c r="A71" s="10">
        <v>45966</v>
      </c>
      <c r="B71" s="10" t="str">
        <f>IF(A72="", A71, A72-1)</f>
        <v>0</v>
      </c>
      <c r="C71" s="2" t="s">
        <v>20</v>
      </c>
      <c r="D71" s="2" t="s">
        <v>21</v>
      </c>
      <c r="E71" s="2" t="s">
        <v>22</v>
      </c>
      <c r="F71" s="7">
        <v>1</v>
      </c>
      <c r="G71" s="7">
        <v>10</v>
      </c>
      <c r="H71" s="8">
        <v>2.478</v>
      </c>
      <c r="I71" s="9">
        <v>13000</v>
      </c>
      <c r="J71" s="9" t="str">
        <f>I71/F71</f>
        <v>0</v>
      </c>
      <c r="K71" s="9" t="str">
        <f>I71/G71</f>
        <v>0</v>
      </c>
      <c r="L71" s="9" t="str">
        <f>I71/H71</f>
        <v>0</v>
      </c>
    </row>
    <row r="72" spans="1:12">
      <c r="A72" s="10">
        <v>45967</v>
      </c>
      <c r="B72" s="10" t="str">
        <f>IF(A73="", A72, A73-1)</f>
        <v>0</v>
      </c>
      <c r="C72" s="2" t="s">
        <v>20</v>
      </c>
      <c r="D72" s="2" t="s">
        <v>21</v>
      </c>
      <c r="E72" s="2" t="s">
        <v>22</v>
      </c>
      <c r="F72" s="7">
        <v>1</v>
      </c>
      <c r="G72" s="7">
        <v>10</v>
      </c>
      <c r="H72" s="8">
        <v>2.478</v>
      </c>
      <c r="I72" s="9">
        <v>13000</v>
      </c>
      <c r="J72" s="9" t="str">
        <f>I72/F72</f>
        <v>0</v>
      </c>
      <c r="K72" s="9" t="str">
        <f>I72/G72</f>
        <v>0</v>
      </c>
      <c r="L72" s="9" t="str">
        <f>I72/H72</f>
        <v>0</v>
      </c>
    </row>
    <row r="73" spans="1:12">
      <c r="A73" s="10">
        <v>45968</v>
      </c>
      <c r="B73" s="10" t="str">
        <f>IF(A74="", A73, A74-1)</f>
        <v>0</v>
      </c>
      <c r="C73" s="2" t="s">
        <v>20</v>
      </c>
      <c r="D73" s="2" t="s">
        <v>21</v>
      </c>
      <c r="E73" s="2" t="s">
        <v>22</v>
      </c>
      <c r="F73" s="7">
        <v>1</v>
      </c>
      <c r="G73" s="7">
        <v>10</v>
      </c>
      <c r="H73" s="8">
        <v>2.478</v>
      </c>
      <c r="I73" s="9">
        <v>13000</v>
      </c>
      <c r="J73" s="9" t="str">
        <f>I73/F73</f>
        <v>0</v>
      </c>
      <c r="K73" s="9" t="str">
        <f>I73/G73</f>
        <v>0</v>
      </c>
      <c r="L73" s="9" t="str">
        <f>I73/H73</f>
        <v>0</v>
      </c>
    </row>
    <row r="74" spans="1:12">
      <c r="A74" s="10">
        <v>45969</v>
      </c>
      <c r="B74" s="10" t="str">
        <f>IF(A75="", A74, A75-1)</f>
        <v>0</v>
      </c>
      <c r="C74" s="2" t="s">
        <v>20</v>
      </c>
      <c r="D74" s="2" t="s">
        <v>21</v>
      </c>
      <c r="E74" s="2" t="s">
        <v>22</v>
      </c>
      <c r="F74" s="7">
        <v>1</v>
      </c>
      <c r="G74" s="7">
        <v>10</v>
      </c>
      <c r="H74" s="8">
        <v>2.478</v>
      </c>
      <c r="I74" s="9">
        <v>13000</v>
      </c>
      <c r="J74" s="9" t="str">
        <f>I74/F74</f>
        <v>0</v>
      </c>
      <c r="K74" s="9" t="str">
        <f>I74/G74</f>
        <v>0</v>
      </c>
      <c r="L74" s="9" t="str">
        <f>I74/H74</f>
        <v>0</v>
      </c>
    </row>
    <row r="75" spans="1:12">
      <c r="A75" s="10">
        <v>45970</v>
      </c>
      <c r="B75" s="10" t="str">
        <f>IF(A76="", A75, A76-1)</f>
        <v>0</v>
      </c>
      <c r="C75" s="2" t="s">
        <v>20</v>
      </c>
      <c r="D75" s="2" t="s">
        <v>21</v>
      </c>
      <c r="E75" s="2" t="s">
        <v>22</v>
      </c>
      <c r="F75" s="7">
        <v>1</v>
      </c>
      <c r="G75" s="7">
        <v>10</v>
      </c>
      <c r="H75" s="8">
        <v>2.478</v>
      </c>
      <c r="I75" s="9">
        <v>13000</v>
      </c>
      <c r="J75" s="9" t="str">
        <f>I75/F75</f>
        <v>0</v>
      </c>
      <c r="K75" s="9" t="str">
        <f>I75/G75</f>
        <v>0</v>
      </c>
      <c r="L75" s="9" t="str">
        <f>I75/H75</f>
        <v>0</v>
      </c>
    </row>
    <row r="76" spans="1:12">
      <c r="A76" s="10">
        <v>45971</v>
      </c>
      <c r="B76" s="10" t="str">
        <f>IF(A77="", A76, A77-1)</f>
        <v>0</v>
      </c>
      <c r="C76" s="2" t="s">
        <v>20</v>
      </c>
      <c r="D76" s="2" t="s">
        <v>21</v>
      </c>
      <c r="E76" s="2" t="s">
        <v>22</v>
      </c>
      <c r="F76" s="7">
        <v>1</v>
      </c>
      <c r="G76" s="7">
        <v>10</v>
      </c>
      <c r="H76" s="8">
        <v>2.478</v>
      </c>
      <c r="I76" s="9">
        <v>13000</v>
      </c>
      <c r="J76" s="9" t="str">
        <f>I76/F76</f>
        <v>0</v>
      </c>
      <c r="K76" s="9" t="str">
        <f>I76/G76</f>
        <v>0</v>
      </c>
      <c r="L76" s="9" t="str">
        <f>I76/H76</f>
        <v>0</v>
      </c>
    </row>
    <row r="77" spans="1:12">
      <c r="A77" s="10">
        <v>45972</v>
      </c>
      <c r="B77" s="10" t="str">
        <f>IF(A78="", A77, A78-1)</f>
        <v>0</v>
      </c>
      <c r="C77" s="2" t="s">
        <v>20</v>
      </c>
      <c r="D77" s="2" t="s">
        <v>21</v>
      </c>
      <c r="E77" s="2" t="s">
        <v>22</v>
      </c>
      <c r="F77" s="7">
        <v>1</v>
      </c>
      <c r="G77" s="7">
        <v>10</v>
      </c>
      <c r="H77" s="8">
        <v>2.478</v>
      </c>
      <c r="I77" s="9">
        <v>13000</v>
      </c>
      <c r="J77" s="9" t="str">
        <f>I77/F77</f>
        <v>0</v>
      </c>
      <c r="K77" s="9" t="str">
        <f>I77/G77</f>
        <v>0</v>
      </c>
      <c r="L77" s="9" t="str">
        <f>I77/H77</f>
        <v>0</v>
      </c>
    </row>
    <row r="78" spans="1:12">
      <c r="A78" s="10">
        <v>45973</v>
      </c>
      <c r="B78" s="10" t="str">
        <f>IF(A79="", A78, A79-1)</f>
        <v>0</v>
      </c>
      <c r="C78" s="2" t="s">
        <v>20</v>
      </c>
      <c r="D78" s="2" t="s">
        <v>21</v>
      </c>
      <c r="E78" s="2" t="s">
        <v>22</v>
      </c>
      <c r="F78" s="7">
        <v>1</v>
      </c>
      <c r="G78" s="7">
        <v>10</v>
      </c>
      <c r="H78" s="8">
        <v>2.478</v>
      </c>
      <c r="I78" s="9">
        <v>13000</v>
      </c>
      <c r="J78" s="9" t="str">
        <f>I78/F78</f>
        <v>0</v>
      </c>
      <c r="K78" s="9" t="str">
        <f>I78/G78</f>
        <v>0</v>
      </c>
      <c r="L78" s="9" t="str">
        <f>I78/H78</f>
        <v>0</v>
      </c>
    </row>
    <row r="79" spans="1:12">
      <c r="A79" s="10">
        <v>45974</v>
      </c>
      <c r="B79" s="10" t="str">
        <f>IF(A80="", A79, A80-1)</f>
        <v>0</v>
      </c>
      <c r="C79" s="2" t="s">
        <v>20</v>
      </c>
      <c r="D79" s="2" t="s">
        <v>21</v>
      </c>
      <c r="E79" s="2" t="s">
        <v>22</v>
      </c>
      <c r="F79" s="7">
        <v>1</v>
      </c>
      <c r="G79" s="7">
        <v>10</v>
      </c>
      <c r="H79" s="8">
        <v>2.478</v>
      </c>
      <c r="I79" s="9">
        <v>13000</v>
      </c>
      <c r="J79" s="9" t="str">
        <f>I79/F79</f>
        <v>0</v>
      </c>
      <c r="K79" s="9" t="str">
        <f>I79/G79</f>
        <v>0</v>
      </c>
      <c r="L79" s="9" t="str">
        <f>I79/H79</f>
        <v>0</v>
      </c>
    </row>
    <row r="80" spans="1:12">
      <c r="A80" s="10">
        <v>45975</v>
      </c>
      <c r="B80" s="10" t="str">
        <f>IF(A81="", A80, A81-1)</f>
        <v>0</v>
      </c>
      <c r="C80" s="2" t="s">
        <v>20</v>
      </c>
      <c r="D80" s="2" t="s">
        <v>21</v>
      </c>
      <c r="E80" s="2" t="s">
        <v>22</v>
      </c>
      <c r="F80" s="7">
        <v>1</v>
      </c>
      <c r="G80" s="7">
        <v>10</v>
      </c>
      <c r="H80" s="8">
        <v>2.478</v>
      </c>
      <c r="I80" s="9">
        <v>13000</v>
      </c>
      <c r="J80" s="9" t="str">
        <f>I80/F80</f>
        <v>0</v>
      </c>
      <c r="K80" s="9" t="str">
        <f>I80/G80</f>
        <v>0</v>
      </c>
      <c r="L80" s="9" t="str">
        <f>I80/H80</f>
        <v>0</v>
      </c>
    </row>
    <row r="81" spans="1:12">
      <c r="A81" s="10">
        <v>45976</v>
      </c>
      <c r="B81" s="10" t="str">
        <f>IF(A82="", A81, A82-1)</f>
        <v>0</v>
      </c>
      <c r="C81" s="2" t="s">
        <v>20</v>
      </c>
      <c r="D81" s="2" t="s">
        <v>21</v>
      </c>
      <c r="E81" s="2" t="s">
        <v>22</v>
      </c>
      <c r="F81" s="7">
        <v>1</v>
      </c>
      <c r="G81" s="7">
        <v>10</v>
      </c>
      <c r="H81" s="8">
        <v>2.478</v>
      </c>
      <c r="I81" s="9">
        <v>13000</v>
      </c>
      <c r="J81" s="9" t="str">
        <f>I81/F81</f>
        <v>0</v>
      </c>
      <c r="K81" s="9" t="str">
        <f>I81/G81</f>
        <v>0</v>
      </c>
      <c r="L81" s="9" t="str">
        <f>I81/H81</f>
        <v>0</v>
      </c>
    </row>
    <row r="82" spans="1:12">
      <c r="A82" s="10">
        <v>45977</v>
      </c>
      <c r="B82" s="10" t="str">
        <f>IF(A83="", A82, A83-1)</f>
        <v>0</v>
      </c>
      <c r="C82" s="2" t="s">
        <v>20</v>
      </c>
      <c r="D82" s="2" t="s">
        <v>21</v>
      </c>
      <c r="E82" s="2" t="s">
        <v>22</v>
      </c>
      <c r="F82" s="7">
        <v>1</v>
      </c>
      <c r="G82" s="7">
        <v>10</v>
      </c>
      <c r="H82" s="8">
        <v>2.478</v>
      </c>
      <c r="I82" s="9">
        <v>13000</v>
      </c>
      <c r="J82" s="9" t="str">
        <f>I82/F82</f>
        <v>0</v>
      </c>
      <c r="K82" s="9" t="str">
        <f>I82/G82</f>
        <v>0</v>
      </c>
      <c r="L82" s="9" t="str">
        <f>I82/H82</f>
        <v>0</v>
      </c>
    </row>
    <row r="83" spans="1:12">
      <c r="A83" s="10">
        <v>45978</v>
      </c>
      <c r="B83" s="10" t="str">
        <f>IF(A84="", A83, A84-1)</f>
        <v>0</v>
      </c>
      <c r="C83" s="2" t="s">
        <v>20</v>
      </c>
      <c r="D83" s="2" t="s">
        <v>21</v>
      </c>
      <c r="E83" s="2" t="s">
        <v>22</v>
      </c>
      <c r="F83" s="7">
        <v>1</v>
      </c>
      <c r="G83" s="7">
        <v>10</v>
      </c>
      <c r="H83" s="8">
        <v>2.478</v>
      </c>
      <c r="I83" s="9">
        <v>13000</v>
      </c>
      <c r="J83" s="9" t="str">
        <f>I83/F83</f>
        <v>0</v>
      </c>
      <c r="K83" s="9" t="str">
        <f>I83/G83</f>
        <v>0</v>
      </c>
      <c r="L83" s="9" t="str">
        <f>I83/H83</f>
        <v>0</v>
      </c>
    </row>
    <row r="84" spans="1:12">
      <c r="A84" s="10">
        <v>45979</v>
      </c>
      <c r="B84" s="10" t="str">
        <f>IF(A85="", A84, A85-1)</f>
        <v>0</v>
      </c>
      <c r="C84" s="2" t="s">
        <v>20</v>
      </c>
      <c r="D84" s="2" t="s">
        <v>21</v>
      </c>
      <c r="E84" s="2" t="s">
        <v>22</v>
      </c>
      <c r="F84" s="7">
        <v>1</v>
      </c>
      <c r="G84" s="7">
        <v>10</v>
      </c>
      <c r="H84" s="8">
        <v>2.478</v>
      </c>
      <c r="I84" s="9">
        <v>13000</v>
      </c>
      <c r="J84" s="9" t="str">
        <f>I84/F84</f>
        <v>0</v>
      </c>
      <c r="K84" s="9" t="str">
        <f>I84/G84</f>
        <v>0</v>
      </c>
      <c r="L84" s="9" t="str">
        <f>I84/H84</f>
        <v>0</v>
      </c>
    </row>
    <row r="85" spans="1:12">
      <c r="A85" s="10">
        <v>45980</v>
      </c>
      <c r="B85" s="10" t="str">
        <f>IF(A86="", A85, A86-1)</f>
        <v>0</v>
      </c>
      <c r="C85" s="2" t="s">
        <v>20</v>
      </c>
      <c r="D85" s="2" t="s">
        <v>21</v>
      </c>
      <c r="E85" s="2" t="s">
        <v>22</v>
      </c>
      <c r="F85" s="7">
        <v>1</v>
      </c>
      <c r="G85" s="7">
        <v>10</v>
      </c>
      <c r="H85" s="8">
        <v>2.478</v>
      </c>
      <c r="I85" s="9">
        <v>13000</v>
      </c>
      <c r="J85" s="9" t="str">
        <f>I85/F85</f>
        <v>0</v>
      </c>
      <c r="K85" s="9" t="str">
        <f>I85/G85</f>
        <v>0</v>
      </c>
      <c r="L85" s="9" t="str">
        <f>I85/H85</f>
        <v>0</v>
      </c>
    </row>
    <row r="86" spans="1:12">
      <c r="A86" s="10">
        <v>45981</v>
      </c>
      <c r="B86" s="10" t="str">
        <f>IF(A87="", A86, A87-1)</f>
        <v>0</v>
      </c>
      <c r="C86" s="2" t="s">
        <v>20</v>
      </c>
      <c r="D86" s="2" t="s">
        <v>21</v>
      </c>
      <c r="E86" s="2" t="s">
        <v>22</v>
      </c>
      <c r="F86" s="7">
        <v>1</v>
      </c>
      <c r="G86" s="7">
        <v>10</v>
      </c>
      <c r="H86" s="8">
        <v>2.478</v>
      </c>
      <c r="I86" s="9">
        <v>13000</v>
      </c>
      <c r="J86" s="9" t="str">
        <f>I86/F86</f>
        <v>0</v>
      </c>
      <c r="K86" s="9" t="str">
        <f>I86/G86</f>
        <v>0</v>
      </c>
      <c r="L86" s="9" t="str">
        <f>I86/H86</f>
        <v>0</v>
      </c>
    </row>
    <row r="87" spans="1:12">
      <c r="A87" s="10">
        <v>45982</v>
      </c>
      <c r="B87" s="10" t="str">
        <f>IF(A88="", A87, A88-1)</f>
        <v>0</v>
      </c>
      <c r="C87" s="2" t="s">
        <v>20</v>
      </c>
      <c r="D87" s="2" t="s">
        <v>21</v>
      </c>
      <c r="E87" s="2" t="s">
        <v>22</v>
      </c>
      <c r="F87" s="7">
        <v>1</v>
      </c>
      <c r="G87" s="7">
        <v>10</v>
      </c>
      <c r="H87" s="8">
        <v>2.478</v>
      </c>
      <c r="I87" s="9">
        <v>13000</v>
      </c>
      <c r="J87" s="9" t="str">
        <f>I87/F87</f>
        <v>0</v>
      </c>
      <c r="K87" s="9" t="str">
        <f>I87/G87</f>
        <v>0</v>
      </c>
      <c r="L87" s="9" t="str">
        <f>I87/H87</f>
        <v>0</v>
      </c>
    </row>
    <row r="88" spans="1:12">
      <c r="A88" s="10">
        <v>45983</v>
      </c>
      <c r="B88" s="10" t="str">
        <f>IF(A89="", A88, A89-1)</f>
        <v>0</v>
      </c>
      <c r="C88" s="2" t="s">
        <v>20</v>
      </c>
      <c r="D88" s="2" t="s">
        <v>21</v>
      </c>
      <c r="E88" s="2" t="s">
        <v>22</v>
      </c>
      <c r="F88" s="7">
        <v>1</v>
      </c>
      <c r="G88" s="7">
        <v>10</v>
      </c>
      <c r="H88" s="8">
        <v>2.478</v>
      </c>
      <c r="I88" s="9">
        <v>13000</v>
      </c>
      <c r="J88" s="9" t="str">
        <f>I88/F88</f>
        <v>0</v>
      </c>
      <c r="K88" s="9" t="str">
        <f>I88/G88</f>
        <v>0</v>
      </c>
      <c r="L88" s="9" t="str">
        <f>I88/H88</f>
        <v>0</v>
      </c>
    </row>
    <row r="89" spans="1:12">
      <c r="A89" s="10">
        <v>45984</v>
      </c>
      <c r="B89" s="10" t="str">
        <f>IF(A90="", A89, A90-1)</f>
        <v>0</v>
      </c>
      <c r="C89" s="2" t="s">
        <v>20</v>
      </c>
      <c r="D89" s="2" t="s">
        <v>21</v>
      </c>
      <c r="E89" s="2" t="s">
        <v>22</v>
      </c>
      <c r="F89" s="7">
        <v>1</v>
      </c>
      <c r="G89" s="7">
        <v>10</v>
      </c>
      <c r="H89" s="8">
        <v>2.478</v>
      </c>
      <c r="I89" s="9">
        <v>13000</v>
      </c>
      <c r="J89" s="9" t="str">
        <f>I89/F89</f>
        <v>0</v>
      </c>
      <c r="K89" s="9" t="str">
        <f>I89/G89</f>
        <v>0</v>
      </c>
      <c r="L89" s="9" t="str">
        <f>I89/H89</f>
        <v>0</v>
      </c>
    </row>
    <row r="90" spans="1:12">
      <c r="A90" s="10">
        <v>45985</v>
      </c>
      <c r="B90" s="10" t="str">
        <f>IF(A91="", A90, A91-1)</f>
        <v>0</v>
      </c>
      <c r="C90" s="2" t="s">
        <v>20</v>
      </c>
      <c r="D90" s="2" t="s">
        <v>21</v>
      </c>
      <c r="E90" s="2" t="s">
        <v>22</v>
      </c>
      <c r="F90" s="7">
        <v>1</v>
      </c>
      <c r="G90" s="7">
        <v>10</v>
      </c>
      <c r="H90" s="8">
        <v>2.478</v>
      </c>
      <c r="I90" s="9">
        <v>13000</v>
      </c>
      <c r="J90" s="9" t="str">
        <f>I90/F90</f>
        <v>0</v>
      </c>
      <c r="K90" s="9" t="str">
        <f>I90/G90</f>
        <v>0</v>
      </c>
      <c r="L90" s="9" t="str">
        <f>I90/H90</f>
        <v>0</v>
      </c>
    </row>
    <row r="91" spans="1:12">
      <c r="A91" s="10">
        <v>45986</v>
      </c>
      <c r="B91" s="10" t="str">
        <f>IF(A92="", A91, A92-1)</f>
        <v>0</v>
      </c>
      <c r="C91" s="2" t="s">
        <v>20</v>
      </c>
      <c r="D91" s="2" t="s">
        <v>21</v>
      </c>
      <c r="E91" s="2" t="s">
        <v>22</v>
      </c>
      <c r="F91" s="7">
        <v>1</v>
      </c>
      <c r="G91" s="7">
        <v>10</v>
      </c>
      <c r="H91" s="8">
        <v>2.478</v>
      </c>
      <c r="I91" s="9">
        <v>13000</v>
      </c>
      <c r="J91" s="9" t="str">
        <f>I91/F91</f>
        <v>0</v>
      </c>
      <c r="K91" s="9" t="str">
        <f>I91/G91</f>
        <v>0</v>
      </c>
      <c r="L91" s="9" t="str">
        <f>I91/H91</f>
        <v>0</v>
      </c>
    </row>
    <row r="92" spans="1:12">
      <c r="A92" s="10">
        <v>45987</v>
      </c>
      <c r="B92" s="10" t="str">
        <f>IF(A93="", A92, A93-1)</f>
        <v>0</v>
      </c>
      <c r="C92" s="2" t="s">
        <v>20</v>
      </c>
      <c r="D92" s="2" t="s">
        <v>21</v>
      </c>
      <c r="E92" s="2" t="s">
        <v>22</v>
      </c>
      <c r="F92" s="7">
        <v>1</v>
      </c>
      <c r="G92" s="7">
        <v>10</v>
      </c>
      <c r="H92" s="8">
        <v>2.478</v>
      </c>
      <c r="I92" s="9">
        <v>13000</v>
      </c>
      <c r="J92" s="9" t="str">
        <f>I92/F92</f>
        <v>0</v>
      </c>
      <c r="K92" s="9" t="str">
        <f>I92/G92</f>
        <v>0</v>
      </c>
      <c r="L92" s="9" t="str">
        <f>I92/H92</f>
        <v>0</v>
      </c>
    </row>
    <row r="93" spans="1:12">
      <c r="A93" s="10">
        <v>45988</v>
      </c>
      <c r="B93" s="10" t="str">
        <f>IF(A94="", A93, A94-1)</f>
        <v>0</v>
      </c>
      <c r="C93" s="2" t="s">
        <v>20</v>
      </c>
      <c r="D93" s="2" t="s">
        <v>21</v>
      </c>
      <c r="E93" s="2" t="s">
        <v>22</v>
      </c>
      <c r="F93" s="7">
        <v>1</v>
      </c>
      <c r="G93" s="7">
        <v>10</v>
      </c>
      <c r="H93" s="8">
        <v>2.478</v>
      </c>
      <c r="I93" s="9">
        <v>13000</v>
      </c>
      <c r="J93" s="9" t="str">
        <f>I93/F93</f>
        <v>0</v>
      </c>
      <c r="K93" s="9" t="str">
        <f>I93/G93</f>
        <v>0</v>
      </c>
      <c r="L93" s="9" t="str">
        <f>I93/H93</f>
        <v>0</v>
      </c>
    </row>
    <row r="94" spans="1:12">
      <c r="A94" s="10">
        <v>45989</v>
      </c>
      <c r="B94" s="10" t="str">
        <f>IF(A95="", A94, A95-1)</f>
        <v>0</v>
      </c>
      <c r="C94" s="2" t="s">
        <v>20</v>
      </c>
      <c r="D94" s="2" t="s">
        <v>21</v>
      </c>
      <c r="E94" s="2" t="s">
        <v>22</v>
      </c>
      <c r="F94" s="7">
        <v>1</v>
      </c>
      <c r="G94" s="7">
        <v>10</v>
      </c>
      <c r="H94" s="8">
        <v>2.478</v>
      </c>
      <c r="I94" s="9">
        <v>13000</v>
      </c>
      <c r="J94" s="9" t="str">
        <f>I94/F94</f>
        <v>0</v>
      </c>
      <c r="K94" s="9" t="str">
        <f>I94/G94</f>
        <v>0</v>
      </c>
      <c r="L94" s="9" t="str">
        <f>I94/H94</f>
        <v>0</v>
      </c>
    </row>
    <row r="95" spans="1:12">
      <c r="A95" s="10">
        <v>45990</v>
      </c>
      <c r="B95" s="10" t="str">
        <f>IF(A96="", A95, A96-1)</f>
        <v>0</v>
      </c>
      <c r="C95" s="2" t="s">
        <v>20</v>
      </c>
      <c r="D95" s="2" t="s">
        <v>21</v>
      </c>
      <c r="E95" s="2" t="s">
        <v>22</v>
      </c>
      <c r="F95" s="7">
        <v>1</v>
      </c>
      <c r="G95" s="7">
        <v>10</v>
      </c>
      <c r="H95" s="8">
        <v>2.478</v>
      </c>
      <c r="I95" s="9">
        <v>13000</v>
      </c>
      <c r="J95" s="9" t="str">
        <f>I95/F95</f>
        <v>0</v>
      </c>
      <c r="K95" s="9" t="str">
        <f>I95/G95</f>
        <v>0</v>
      </c>
      <c r="L95" s="9" t="str">
        <f>I95/H95</f>
        <v>0</v>
      </c>
    </row>
    <row r="96" spans="1:12">
      <c r="A96" s="10">
        <v>45991</v>
      </c>
      <c r="B96" s="10" t="str">
        <f>IF(A97="", A96, A97-1)</f>
        <v>0</v>
      </c>
      <c r="C96" s="2" t="s">
        <v>20</v>
      </c>
      <c r="D96" s="2" t="s">
        <v>21</v>
      </c>
      <c r="E96" s="2" t="s">
        <v>22</v>
      </c>
      <c r="F96" s="7">
        <v>1</v>
      </c>
      <c r="G96" s="7">
        <v>10</v>
      </c>
      <c r="H96" s="8">
        <v>2.478</v>
      </c>
      <c r="I96" s="9">
        <v>13000</v>
      </c>
      <c r="J96" s="9" t="str">
        <f>I96/F96</f>
        <v>0</v>
      </c>
      <c r="K96" s="9" t="str">
        <f>I96/G96</f>
        <v>0</v>
      </c>
      <c r="L96" s="9" t="str">
        <f>I96/H96</f>
        <v>0</v>
      </c>
    </row>
    <row r="97" spans="1:12">
      <c r="A97" s="10">
        <v>45992</v>
      </c>
      <c r="B97" s="10" t="str">
        <f>IF(A98="", A97, A98-1)</f>
        <v>0</v>
      </c>
      <c r="C97" s="2" t="s">
        <v>20</v>
      </c>
      <c r="D97" s="2" t="s">
        <v>21</v>
      </c>
      <c r="E97" s="2" t="s">
        <v>22</v>
      </c>
      <c r="F97" s="7">
        <v>4</v>
      </c>
      <c r="G97" s="7">
        <v>14</v>
      </c>
      <c r="H97" s="8">
        <v>3.274</v>
      </c>
      <c r="I97" s="9">
        <v>52000</v>
      </c>
      <c r="J97" s="9" t="str">
        <f>I97/F97</f>
        <v>0</v>
      </c>
      <c r="K97" s="9" t="str">
        <f>I97/G97</f>
        <v>0</v>
      </c>
      <c r="L97" s="9" t="str">
        <f>I97/H97</f>
        <v>0</v>
      </c>
    </row>
    <row r="98" spans="1:12">
      <c r="A98" s="10">
        <v>45993</v>
      </c>
      <c r="B98" s="10" t="str">
        <f>IF(A99="", A98, A99-1)</f>
        <v>0</v>
      </c>
      <c r="C98" s="2" t="s">
        <v>20</v>
      </c>
      <c r="D98" s="2" t="s">
        <v>21</v>
      </c>
      <c r="E98" s="2" t="s">
        <v>22</v>
      </c>
      <c r="F98" s="7">
        <v>2</v>
      </c>
      <c r="G98" s="7">
        <v>11</v>
      </c>
      <c r="H98" s="8">
        <v>2.522</v>
      </c>
      <c r="I98" s="9">
        <v>26000</v>
      </c>
      <c r="J98" s="9" t="str">
        <f>I98/F98</f>
        <v>0</v>
      </c>
      <c r="K98" s="9" t="str">
        <f>I98/G98</f>
        <v>0</v>
      </c>
      <c r="L98" s="9" t="str">
        <f>I98/H98</f>
        <v>0</v>
      </c>
    </row>
    <row r="99" spans="1:12">
      <c r="A99" s="10">
        <v>45994</v>
      </c>
      <c r="B99" s="10" t="str">
        <f>IF(A100="", A99, A100-1)</f>
        <v>0</v>
      </c>
      <c r="C99" s="2" t="s">
        <v>20</v>
      </c>
      <c r="D99" s="2" t="s">
        <v>21</v>
      </c>
      <c r="E99" s="2" t="s">
        <v>22</v>
      </c>
      <c r="F99" s="7">
        <v>1</v>
      </c>
      <c r="G99" s="7">
        <v>10</v>
      </c>
      <c r="H99" s="8">
        <v>2.478</v>
      </c>
      <c r="I99" s="9">
        <v>13000</v>
      </c>
      <c r="J99" s="9" t="str">
        <f>I99/F99</f>
        <v>0</v>
      </c>
      <c r="K99" s="9" t="str">
        <f>I99/G99</f>
        <v>0</v>
      </c>
      <c r="L99" s="9" t="str">
        <f>I99/H99</f>
        <v>0</v>
      </c>
    </row>
    <row r="100" spans="1:12">
      <c r="A100" s="10">
        <v>45995</v>
      </c>
      <c r="B100" s="10" t="str">
        <f>IF(A101="", A100, A101-1)</f>
        <v>0</v>
      </c>
      <c r="C100" s="2" t="s">
        <v>20</v>
      </c>
      <c r="D100" s="2" t="s">
        <v>21</v>
      </c>
      <c r="E100" s="2" t="s">
        <v>22</v>
      </c>
      <c r="F100" s="7">
        <v>1</v>
      </c>
      <c r="G100" s="7">
        <v>10</v>
      </c>
      <c r="H100" s="8">
        <v>2.478</v>
      </c>
      <c r="I100" s="9">
        <v>13000</v>
      </c>
      <c r="J100" s="9" t="str">
        <f>I100/F100</f>
        <v>0</v>
      </c>
      <c r="K100" s="9" t="str">
        <f>I100/G100</f>
        <v>0</v>
      </c>
      <c r="L100" s="9" t="str">
        <f>I100/H100</f>
        <v>0</v>
      </c>
    </row>
    <row r="101" spans="1:12">
      <c r="A101" s="10">
        <v>45996</v>
      </c>
      <c r="B101" s="10" t="str">
        <f>IF(A102="", A101, A102-1)</f>
        <v>0</v>
      </c>
      <c r="C101" s="2" t="s">
        <v>20</v>
      </c>
      <c r="D101" s="2" t="s">
        <v>21</v>
      </c>
      <c r="E101" s="2" t="s">
        <v>22</v>
      </c>
      <c r="F101" s="7">
        <v>1</v>
      </c>
      <c r="G101" s="7">
        <v>10</v>
      </c>
      <c r="H101" s="8">
        <v>2.478</v>
      </c>
      <c r="I101" s="9">
        <v>13000</v>
      </c>
      <c r="J101" s="9" t="str">
        <f>I101/F101</f>
        <v>0</v>
      </c>
      <c r="K101" s="9" t="str">
        <f>I101/G101</f>
        <v>0</v>
      </c>
      <c r="L101" s="9" t="str">
        <f>I101/H101</f>
        <v>0</v>
      </c>
    </row>
    <row r="102" spans="1:12">
      <c r="A102" s="10">
        <v>45997</v>
      </c>
      <c r="B102" s="10" t="str">
        <f>IF(A103="", A102, A103-1)</f>
        <v>0</v>
      </c>
      <c r="C102" s="2" t="s">
        <v>20</v>
      </c>
      <c r="D102" s="2" t="s">
        <v>21</v>
      </c>
      <c r="E102" s="2" t="s">
        <v>22</v>
      </c>
      <c r="F102" s="7">
        <v>1</v>
      </c>
      <c r="G102" s="7">
        <v>10</v>
      </c>
      <c r="H102" s="8">
        <v>2.478</v>
      </c>
      <c r="I102" s="9">
        <v>13000</v>
      </c>
      <c r="J102" s="9" t="str">
        <f>I102/F102</f>
        <v>0</v>
      </c>
      <c r="K102" s="9" t="str">
        <f>I102/G102</f>
        <v>0</v>
      </c>
      <c r="L102" s="9" t="str">
        <f>I102/H102</f>
        <v>0</v>
      </c>
    </row>
    <row r="103" spans="1:12">
      <c r="A103" s="10">
        <v>45998</v>
      </c>
      <c r="B103" s="10" t="str">
        <f>IF(A104="", A103, A104-1)</f>
        <v>0</v>
      </c>
      <c r="C103" s="2" t="s">
        <v>20</v>
      </c>
      <c r="D103" s="2" t="s">
        <v>21</v>
      </c>
      <c r="E103" s="2" t="s">
        <v>22</v>
      </c>
      <c r="F103" s="7">
        <v>1</v>
      </c>
      <c r="G103" s="7">
        <v>10</v>
      </c>
      <c r="H103" s="8">
        <v>2.478</v>
      </c>
      <c r="I103" s="9">
        <v>13000</v>
      </c>
      <c r="J103" s="9" t="str">
        <f>I103/F103</f>
        <v>0</v>
      </c>
      <c r="K103" s="9" t="str">
        <f>I103/G103</f>
        <v>0</v>
      </c>
      <c r="L103" s="9" t="str">
        <f>I103/H103</f>
        <v>0</v>
      </c>
    </row>
    <row r="104" spans="1:12">
      <c r="A104" s="10">
        <v>45999</v>
      </c>
      <c r="B104" s="10" t="str">
        <f>IF(A105="", A104, A105-1)</f>
        <v>0</v>
      </c>
      <c r="C104" s="2" t="s">
        <v>20</v>
      </c>
      <c r="D104" s="2" t="s">
        <v>21</v>
      </c>
      <c r="E104" s="2" t="s">
        <v>22</v>
      </c>
      <c r="F104" s="7">
        <v>1</v>
      </c>
      <c r="G104" s="7">
        <v>10</v>
      </c>
      <c r="H104" s="8">
        <v>2.478</v>
      </c>
      <c r="I104" s="9">
        <v>13000</v>
      </c>
      <c r="J104" s="9" t="str">
        <f>I104/F104</f>
        <v>0</v>
      </c>
      <c r="K104" s="9" t="str">
        <f>I104/G104</f>
        <v>0</v>
      </c>
      <c r="L104" s="9" t="str">
        <f>I104/H104</f>
        <v>0</v>
      </c>
    </row>
    <row r="105" spans="1:12">
      <c r="A105" s="10">
        <v>46000</v>
      </c>
      <c r="B105" s="10" t="str">
        <f>IF(A106="", A105, A106-1)</f>
        <v>0</v>
      </c>
      <c r="C105" s="2" t="s">
        <v>20</v>
      </c>
      <c r="D105" s="2" t="s">
        <v>21</v>
      </c>
      <c r="E105" s="2" t="s">
        <v>22</v>
      </c>
      <c r="F105" s="7">
        <v>1</v>
      </c>
      <c r="G105" s="7">
        <v>10</v>
      </c>
      <c r="H105" s="8">
        <v>2.478</v>
      </c>
      <c r="I105" s="9">
        <v>13000</v>
      </c>
      <c r="J105" s="9" t="str">
        <f>I105/F105</f>
        <v>0</v>
      </c>
      <c r="K105" s="9" t="str">
        <f>I105/G105</f>
        <v>0</v>
      </c>
      <c r="L105" s="9" t="str">
        <f>I105/H105</f>
        <v>0</v>
      </c>
    </row>
    <row r="106" spans="1:12">
      <c r="A106" s="10">
        <v>46001</v>
      </c>
      <c r="B106" s="10" t="str">
        <f>IF(A107="", A106, A107-1)</f>
        <v>0</v>
      </c>
      <c r="C106" s="2" t="s">
        <v>20</v>
      </c>
      <c r="D106" s="2" t="s">
        <v>21</v>
      </c>
      <c r="E106" s="2" t="s">
        <v>22</v>
      </c>
      <c r="F106" s="7">
        <v>1</v>
      </c>
      <c r="G106" s="7">
        <v>10</v>
      </c>
      <c r="H106" s="8">
        <v>2.478</v>
      </c>
      <c r="I106" s="9">
        <v>13000</v>
      </c>
      <c r="J106" s="9" t="str">
        <f>I106/F106</f>
        <v>0</v>
      </c>
      <c r="K106" s="9" t="str">
        <f>I106/G106</f>
        <v>0</v>
      </c>
      <c r="L106" s="9" t="str">
        <f>I106/H106</f>
        <v>0</v>
      </c>
    </row>
    <row r="107" spans="1:12">
      <c r="A107" s="10">
        <v>46002</v>
      </c>
      <c r="B107" s="10" t="str">
        <f>IF(A108="", A107, A108-1)</f>
        <v>0</v>
      </c>
      <c r="C107" s="2" t="s">
        <v>20</v>
      </c>
      <c r="D107" s="2" t="s">
        <v>21</v>
      </c>
      <c r="E107" s="2" t="s">
        <v>22</v>
      </c>
      <c r="F107" s="7">
        <v>1</v>
      </c>
      <c r="G107" s="7">
        <v>10</v>
      </c>
      <c r="H107" s="8">
        <v>2.478</v>
      </c>
      <c r="I107" s="9">
        <v>13000</v>
      </c>
      <c r="J107" s="9" t="str">
        <f>I107/F107</f>
        <v>0</v>
      </c>
      <c r="K107" s="9" t="str">
        <f>I107/G107</f>
        <v>0</v>
      </c>
      <c r="L107" s="9" t="str">
        <f>I107/H107</f>
        <v>0</v>
      </c>
    </row>
    <row r="108" spans="1:12">
      <c r="A108" s="10">
        <v>46003</v>
      </c>
      <c r="B108" s="10" t="str">
        <f>IF(A109="", A108, A109-1)</f>
        <v>0</v>
      </c>
      <c r="C108" s="2" t="s">
        <v>20</v>
      </c>
      <c r="D108" s="2" t="s">
        <v>21</v>
      </c>
      <c r="E108" s="2" t="s">
        <v>22</v>
      </c>
      <c r="F108" s="7">
        <v>1</v>
      </c>
      <c r="G108" s="7">
        <v>10</v>
      </c>
      <c r="H108" s="8">
        <v>2.478</v>
      </c>
      <c r="I108" s="9">
        <v>13000</v>
      </c>
      <c r="J108" s="9" t="str">
        <f>I108/F108</f>
        <v>0</v>
      </c>
      <c r="K108" s="9" t="str">
        <f>I108/G108</f>
        <v>0</v>
      </c>
      <c r="L108" s="9" t="str">
        <f>I108/H108</f>
        <v>0</v>
      </c>
    </row>
    <row r="109" spans="1:12">
      <c r="A109" s="10">
        <v>46004</v>
      </c>
      <c r="B109" s="10" t="str">
        <f>IF(A110="", A109, A110-1)</f>
        <v>0</v>
      </c>
      <c r="C109" s="2" t="s">
        <v>20</v>
      </c>
      <c r="D109" s="2" t="s">
        <v>21</v>
      </c>
      <c r="E109" s="2" t="s">
        <v>22</v>
      </c>
      <c r="F109" s="7">
        <v>1</v>
      </c>
      <c r="G109" s="7">
        <v>10</v>
      </c>
      <c r="H109" s="8">
        <v>2.478</v>
      </c>
      <c r="I109" s="9">
        <v>13000</v>
      </c>
      <c r="J109" s="9" t="str">
        <f>I109/F109</f>
        <v>0</v>
      </c>
      <c r="K109" s="9" t="str">
        <f>I109/G109</f>
        <v>0</v>
      </c>
      <c r="L109" s="9" t="str">
        <f>I109/H109</f>
        <v>0</v>
      </c>
    </row>
    <row r="110" spans="1:12">
      <c r="A110" s="10">
        <v>46005</v>
      </c>
      <c r="B110" s="10" t="str">
        <f>IF(A111="", A110, A111-1)</f>
        <v>0</v>
      </c>
      <c r="C110" s="2" t="s">
        <v>20</v>
      </c>
      <c r="D110" s="2" t="s">
        <v>21</v>
      </c>
      <c r="E110" s="2" t="s">
        <v>22</v>
      </c>
      <c r="F110" s="7">
        <v>1</v>
      </c>
      <c r="G110" s="7">
        <v>10</v>
      </c>
      <c r="H110" s="8">
        <v>2.478</v>
      </c>
      <c r="I110" s="9">
        <v>13000</v>
      </c>
      <c r="J110" s="9" t="str">
        <f>I110/F110</f>
        <v>0</v>
      </c>
      <c r="K110" s="9" t="str">
        <f>I110/G110</f>
        <v>0</v>
      </c>
      <c r="L110" s="9" t="str">
        <f>I110/H110</f>
        <v>0</v>
      </c>
    </row>
    <row r="111" spans="1:12">
      <c r="A111" s="10">
        <v>46006</v>
      </c>
      <c r="B111" s="10" t="str">
        <f>IF(A112="", A111, A112-1)</f>
        <v>0</v>
      </c>
      <c r="C111" s="2" t="s">
        <v>20</v>
      </c>
      <c r="D111" s="2" t="s">
        <v>21</v>
      </c>
      <c r="E111" s="2" t="s">
        <v>22</v>
      </c>
      <c r="F111" s="7">
        <v>1</v>
      </c>
      <c r="G111" s="7">
        <v>10</v>
      </c>
      <c r="H111" s="8">
        <v>2.478</v>
      </c>
      <c r="I111" s="9">
        <v>13000</v>
      </c>
      <c r="J111" s="9" t="str">
        <f>I111/F111</f>
        <v>0</v>
      </c>
      <c r="K111" s="9" t="str">
        <f>I111/G111</f>
        <v>0</v>
      </c>
      <c r="L111" s="9" t="str">
        <f>I111/H111</f>
        <v>0</v>
      </c>
    </row>
    <row r="112" spans="1:12">
      <c r="A112" s="10">
        <v>46007</v>
      </c>
      <c r="B112" s="10" t="str">
        <f>IF(A113="", A112, A113-1)</f>
        <v>0</v>
      </c>
      <c r="C112" s="2" t="s">
        <v>20</v>
      </c>
      <c r="D112" s="2" t="s">
        <v>21</v>
      </c>
      <c r="E112" s="2" t="s">
        <v>22</v>
      </c>
      <c r="F112" s="7">
        <v>1</v>
      </c>
      <c r="G112" s="7">
        <v>10</v>
      </c>
      <c r="H112" s="8">
        <v>2.478</v>
      </c>
      <c r="I112" s="9">
        <v>13000</v>
      </c>
      <c r="J112" s="9" t="str">
        <f>I112/F112</f>
        <v>0</v>
      </c>
      <c r="K112" s="9" t="str">
        <f>I112/G112</f>
        <v>0</v>
      </c>
      <c r="L112" s="9" t="str">
        <f>I112/H112</f>
        <v>0</v>
      </c>
    </row>
    <row r="113" spans="1:12">
      <c r="A113" s="10">
        <v>46008</v>
      </c>
      <c r="B113" s="10" t="str">
        <f>IF(A114="", A113, A114-1)</f>
        <v>0</v>
      </c>
      <c r="C113" s="2" t="s">
        <v>20</v>
      </c>
      <c r="D113" s="2" t="s">
        <v>21</v>
      </c>
      <c r="E113" s="2" t="s">
        <v>22</v>
      </c>
      <c r="F113" s="7">
        <v>1</v>
      </c>
      <c r="G113" s="7">
        <v>10</v>
      </c>
      <c r="H113" s="8">
        <v>2.478</v>
      </c>
      <c r="I113" s="9">
        <v>13000</v>
      </c>
      <c r="J113" s="9" t="str">
        <f>I113/F113</f>
        <v>0</v>
      </c>
      <c r="K113" s="9" t="str">
        <f>I113/G113</f>
        <v>0</v>
      </c>
      <c r="L113" s="9" t="str">
        <f>I113/H113</f>
        <v>0</v>
      </c>
    </row>
    <row r="114" spans="1:12">
      <c r="A114" s="10">
        <v>46009</v>
      </c>
      <c r="B114" s="10" t="str">
        <f>IF(A115="", A114, A115-1)</f>
        <v>0</v>
      </c>
      <c r="C114" s="2" t="s">
        <v>20</v>
      </c>
      <c r="D114" s="2" t="s">
        <v>21</v>
      </c>
      <c r="E114" s="2" t="s">
        <v>22</v>
      </c>
      <c r="F114" s="7">
        <v>1</v>
      </c>
      <c r="G114" s="7">
        <v>10</v>
      </c>
      <c r="H114" s="8">
        <v>2.478</v>
      </c>
      <c r="I114" s="9">
        <v>13000</v>
      </c>
      <c r="J114" s="9" t="str">
        <f>I114/F114</f>
        <v>0</v>
      </c>
      <c r="K114" s="9" t="str">
        <f>I114/G114</f>
        <v>0</v>
      </c>
      <c r="L114" s="9" t="str">
        <f>I114/H114</f>
        <v>0</v>
      </c>
    </row>
    <row r="115" spans="1:12">
      <c r="A115" s="10">
        <v>46010</v>
      </c>
      <c r="B115" s="10" t="str">
        <f>IF(A116="", A115, A116-1)</f>
        <v>0</v>
      </c>
      <c r="C115" s="2" t="s">
        <v>20</v>
      </c>
      <c r="D115" s="2" t="s">
        <v>21</v>
      </c>
      <c r="E115" s="2" t="s">
        <v>22</v>
      </c>
      <c r="F115" s="7">
        <v>1</v>
      </c>
      <c r="G115" s="7">
        <v>10</v>
      </c>
      <c r="H115" s="8">
        <v>2.478</v>
      </c>
      <c r="I115" s="9">
        <v>13000</v>
      </c>
      <c r="J115" s="9" t="str">
        <f>I115/F115</f>
        <v>0</v>
      </c>
      <c r="K115" s="9" t="str">
        <f>I115/G115</f>
        <v>0</v>
      </c>
      <c r="L115" s="9" t="str">
        <f>I115/H115</f>
        <v>0</v>
      </c>
    </row>
    <row r="116" spans="1:12">
      <c r="A116" s="10">
        <v>46011</v>
      </c>
      <c r="B116" s="10" t="str">
        <f>IF(A117="", A116, A117-1)</f>
        <v>0</v>
      </c>
      <c r="C116" s="2" t="s">
        <v>20</v>
      </c>
      <c r="D116" s="2" t="s">
        <v>21</v>
      </c>
      <c r="E116" s="2" t="s">
        <v>22</v>
      </c>
      <c r="F116" s="7">
        <v>1</v>
      </c>
      <c r="G116" s="7">
        <v>10</v>
      </c>
      <c r="H116" s="8">
        <v>2.478</v>
      </c>
      <c r="I116" s="9">
        <v>13000</v>
      </c>
      <c r="J116" s="9" t="str">
        <f>I116/F116</f>
        <v>0</v>
      </c>
      <c r="K116" s="9" t="str">
        <f>I116/G116</f>
        <v>0</v>
      </c>
      <c r="L116" s="9" t="str">
        <f>I116/H116</f>
        <v>0</v>
      </c>
    </row>
    <row r="117" spans="1:12">
      <c r="A117" s="10">
        <v>46012</v>
      </c>
      <c r="B117" s="10" t="str">
        <f>IF(A118="", A117, A118-1)</f>
        <v>0</v>
      </c>
      <c r="C117" s="2" t="s">
        <v>20</v>
      </c>
      <c r="D117" s="2" t="s">
        <v>21</v>
      </c>
      <c r="E117" s="2" t="s">
        <v>22</v>
      </c>
      <c r="F117" s="7">
        <v>1</v>
      </c>
      <c r="G117" s="7">
        <v>10</v>
      </c>
      <c r="H117" s="8">
        <v>2.478</v>
      </c>
      <c r="I117" s="9">
        <v>13000</v>
      </c>
      <c r="J117" s="9" t="str">
        <f>I117/F117</f>
        <v>0</v>
      </c>
      <c r="K117" s="9" t="str">
        <f>I117/G117</f>
        <v>0</v>
      </c>
      <c r="L117" s="9" t="str">
        <f>I117/H117</f>
        <v>0</v>
      </c>
    </row>
    <row r="118" spans="1:12">
      <c r="A118" s="10">
        <v>46013</v>
      </c>
      <c r="B118" s="10" t="str">
        <f>IF(A119="", A118, A119-1)</f>
        <v>0</v>
      </c>
      <c r="C118" s="2" t="s">
        <v>20</v>
      </c>
      <c r="D118" s="2" t="s">
        <v>21</v>
      </c>
      <c r="E118" s="2" t="s">
        <v>22</v>
      </c>
      <c r="F118" s="7">
        <v>1</v>
      </c>
      <c r="G118" s="7">
        <v>10</v>
      </c>
      <c r="H118" s="8">
        <v>2.478</v>
      </c>
      <c r="I118" s="9">
        <v>13000</v>
      </c>
      <c r="J118" s="9" t="str">
        <f>I118/F118</f>
        <v>0</v>
      </c>
      <c r="K118" s="9" t="str">
        <f>I118/G118</f>
        <v>0</v>
      </c>
      <c r="L118" s="9" t="str">
        <f>I118/H118</f>
        <v>0</v>
      </c>
    </row>
    <row r="119" spans="1:12">
      <c r="A119" s="10">
        <v>46014</v>
      </c>
      <c r="B119" s="10" t="str">
        <f>IF(A120="", A119, A120-1)</f>
        <v>0</v>
      </c>
      <c r="C119" s="2" t="s">
        <v>20</v>
      </c>
      <c r="D119" s="2" t="s">
        <v>21</v>
      </c>
      <c r="E119" s="2" t="s">
        <v>22</v>
      </c>
      <c r="F119" s="7">
        <v>1</v>
      </c>
      <c r="G119" s="7">
        <v>10</v>
      </c>
      <c r="H119" s="8">
        <v>2.478</v>
      </c>
      <c r="I119" s="9">
        <v>13000</v>
      </c>
      <c r="J119" s="9" t="str">
        <f>I119/F119</f>
        <v>0</v>
      </c>
      <c r="K119" s="9" t="str">
        <f>I119/G119</f>
        <v>0</v>
      </c>
      <c r="L119" s="9" t="str">
        <f>I119/H119</f>
        <v>0</v>
      </c>
    </row>
    <row r="120" spans="1:12">
      <c r="A120" s="10">
        <v>46015</v>
      </c>
      <c r="B120" s="10" t="str">
        <f>IF(A121="", A120, A121-1)</f>
        <v>0</v>
      </c>
      <c r="C120" s="2" t="s">
        <v>20</v>
      </c>
      <c r="D120" s="2" t="s">
        <v>21</v>
      </c>
      <c r="E120" s="2" t="s">
        <v>22</v>
      </c>
      <c r="F120" s="7">
        <v>1</v>
      </c>
      <c r="G120" s="7">
        <v>10</v>
      </c>
      <c r="H120" s="8">
        <v>2.478</v>
      </c>
      <c r="I120" s="9">
        <v>13000</v>
      </c>
      <c r="J120" s="9" t="str">
        <f>I120/F120</f>
        <v>0</v>
      </c>
      <c r="K120" s="9" t="str">
        <f>I120/G120</f>
        <v>0</v>
      </c>
      <c r="L120" s="9" t="str">
        <f>I120/H120</f>
        <v>0</v>
      </c>
    </row>
    <row r="121" spans="1:12">
      <c r="A121" s="10">
        <v>46016</v>
      </c>
      <c r="B121" s="10" t="str">
        <f>IF(A122="", A121, A122-1)</f>
        <v>0</v>
      </c>
      <c r="C121" s="2" t="s">
        <v>20</v>
      </c>
      <c r="D121" s="2" t="s">
        <v>21</v>
      </c>
      <c r="E121" s="2" t="s">
        <v>22</v>
      </c>
      <c r="F121" s="7">
        <v>1</v>
      </c>
      <c r="G121" s="7">
        <v>10</v>
      </c>
      <c r="H121" s="8">
        <v>2.478</v>
      </c>
      <c r="I121" s="9">
        <v>13000</v>
      </c>
      <c r="J121" s="9" t="str">
        <f>I121/F121</f>
        <v>0</v>
      </c>
      <c r="K121" s="9" t="str">
        <f>I121/G121</f>
        <v>0</v>
      </c>
      <c r="L121" s="9" t="str">
        <f>I121/H121</f>
        <v>0</v>
      </c>
    </row>
    <row r="122" spans="1:12">
      <c r="A122" s="10">
        <v>46017</v>
      </c>
      <c r="B122" s="10" t="str">
        <f>IF(A123="", A122, A123-1)</f>
        <v>0</v>
      </c>
      <c r="C122" s="2" t="s">
        <v>20</v>
      </c>
      <c r="D122" s="2" t="s">
        <v>21</v>
      </c>
      <c r="E122" s="2" t="s">
        <v>22</v>
      </c>
      <c r="F122" s="7">
        <v>1</v>
      </c>
      <c r="G122" s="7">
        <v>10</v>
      </c>
      <c r="H122" s="8">
        <v>2.478</v>
      </c>
      <c r="I122" s="9">
        <v>13000</v>
      </c>
      <c r="J122" s="9" t="str">
        <f>I122/F122</f>
        <v>0</v>
      </c>
      <c r="K122" s="9" t="str">
        <f>I122/G122</f>
        <v>0</v>
      </c>
      <c r="L122" s="9" t="str">
        <f>I122/H122</f>
        <v>0</v>
      </c>
    </row>
    <row r="123" spans="1:12">
      <c r="A123" s="10">
        <v>46018</v>
      </c>
      <c r="B123" s="10" t="str">
        <f>IF(A124="", A123, A124-1)</f>
        <v>0</v>
      </c>
      <c r="C123" s="2" t="s">
        <v>20</v>
      </c>
      <c r="D123" s="2" t="s">
        <v>21</v>
      </c>
      <c r="E123" s="2" t="s">
        <v>22</v>
      </c>
      <c r="F123" s="7">
        <v>1</v>
      </c>
      <c r="G123" s="7">
        <v>10</v>
      </c>
      <c r="H123" s="8">
        <v>2.478</v>
      </c>
      <c r="I123" s="9">
        <v>13000</v>
      </c>
      <c r="J123" s="9" t="str">
        <f>I123/F123</f>
        <v>0</v>
      </c>
      <c r="K123" s="9" t="str">
        <f>I123/G123</f>
        <v>0</v>
      </c>
      <c r="L123" s="9" t="str">
        <f>I123/H123</f>
        <v>0</v>
      </c>
    </row>
    <row r="124" spans="1:12">
      <c r="A124" s="10">
        <v>46019</v>
      </c>
      <c r="B124" s="10" t="str">
        <f>IF(A125="", A124, A125-1)</f>
        <v>0</v>
      </c>
      <c r="C124" s="2" t="s">
        <v>20</v>
      </c>
      <c r="D124" s="2" t="s">
        <v>21</v>
      </c>
      <c r="E124" s="2" t="s">
        <v>22</v>
      </c>
      <c r="F124" s="7">
        <v>1</v>
      </c>
      <c r="G124" s="7">
        <v>10</v>
      </c>
      <c r="H124" s="8">
        <v>2.478</v>
      </c>
      <c r="I124" s="9">
        <v>13000</v>
      </c>
      <c r="J124" s="9" t="str">
        <f>I124/F124</f>
        <v>0</v>
      </c>
      <c r="K124" s="9" t="str">
        <f>I124/G124</f>
        <v>0</v>
      </c>
      <c r="L124" s="9" t="str">
        <f>I124/H124</f>
        <v>0</v>
      </c>
    </row>
    <row r="125" spans="1:12">
      <c r="A125" s="10">
        <v>46020</v>
      </c>
      <c r="B125" s="10" t="str">
        <f>IF(A126="", A125, A126-1)</f>
        <v>0</v>
      </c>
      <c r="C125" s="2" t="s">
        <v>20</v>
      </c>
      <c r="D125" s="2" t="s">
        <v>21</v>
      </c>
      <c r="E125" s="2" t="s">
        <v>22</v>
      </c>
      <c r="F125" s="7">
        <v>1</v>
      </c>
      <c r="G125" s="7">
        <v>10</v>
      </c>
      <c r="H125" s="8">
        <v>2.478</v>
      </c>
      <c r="I125" s="9">
        <v>13000</v>
      </c>
      <c r="J125" s="9" t="str">
        <f>I125/F125</f>
        <v>0</v>
      </c>
      <c r="K125" s="9" t="str">
        <f>I125/G125</f>
        <v>0</v>
      </c>
      <c r="L125" s="9" t="str">
        <f>I125/H125</f>
        <v>0</v>
      </c>
    </row>
    <row r="126" spans="1:12">
      <c r="A126" s="10">
        <v>46021</v>
      </c>
      <c r="B126" s="10" t="str">
        <f>IF(A127="", A126, A127-1)</f>
        <v>0</v>
      </c>
      <c r="C126" s="2" t="s">
        <v>20</v>
      </c>
      <c r="D126" s="2" t="s">
        <v>21</v>
      </c>
      <c r="E126" s="2" t="s">
        <v>22</v>
      </c>
      <c r="F126" s="7">
        <v>1</v>
      </c>
      <c r="G126" s="7">
        <v>10</v>
      </c>
      <c r="H126" s="8">
        <v>2.478</v>
      </c>
      <c r="I126" s="9">
        <v>13000</v>
      </c>
      <c r="J126" s="9" t="str">
        <f>I126/F126</f>
        <v>0</v>
      </c>
      <c r="K126" s="9" t="str">
        <f>I126/G126</f>
        <v>0</v>
      </c>
      <c r="L126" s="9" t="str">
        <f>I126/H126</f>
        <v>0</v>
      </c>
    </row>
    <row r="127" spans="1:12">
      <c r="A127" s="10">
        <v>46022</v>
      </c>
      <c r="B127" s="10" t="str">
        <f>IF(A128="", A127, A128-1)</f>
        <v>0</v>
      </c>
      <c r="C127" s="2" t="s">
        <v>20</v>
      </c>
      <c r="D127" s="2" t="s">
        <v>21</v>
      </c>
      <c r="E127" s="2" t="s">
        <v>22</v>
      </c>
      <c r="F127" s="7">
        <v>1</v>
      </c>
      <c r="G127" s="7">
        <v>10</v>
      </c>
      <c r="H127" s="8">
        <v>2.478</v>
      </c>
      <c r="I127" s="9">
        <v>13000</v>
      </c>
      <c r="J127" s="9" t="str">
        <f>I127/F127</f>
        <v>0</v>
      </c>
      <c r="K127" s="9" t="str">
        <f>I127/G127</f>
        <v>0</v>
      </c>
      <c r="L127" s="9" t="str">
        <f>I127/H127</f>
        <v>0</v>
      </c>
    </row>
    <row r="128" spans="1:12">
      <c r="A128" s="10">
        <v>46026</v>
      </c>
      <c r="B128" s="10" t="str">
        <f>IF(A129="", A128, A129-1)</f>
        <v>0</v>
      </c>
      <c r="C128" s="2" t="s">
        <v>20</v>
      </c>
      <c r="D128" s="2" t="s">
        <v>21</v>
      </c>
      <c r="E128" s="2" t="s">
        <v>22</v>
      </c>
      <c r="F128" s="7">
        <v>1</v>
      </c>
      <c r="G128" s="7">
        <v>1</v>
      </c>
      <c r="H128" s="8">
        <v>0.107</v>
      </c>
      <c r="I128" s="9">
        <v>13000</v>
      </c>
      <c r="J128" s="9" t="str">
        <f>I128/F128</f>
        <v>0</v>
      </c>
      <c r="K128" s="9" t="str">
        <f>I128/G128</f>
        <v>0</v>
      </c>
      <c r="L128" s="9" t="str">
        <f>I128/H128</f>
        <v>0</v>
      </c>
    </row>
    <row r="129" spans="1:12">
      <c r="A129" s="10">
        <v>46027</v>
      </c>
      <c r="B129" s="10" t="str">
        <f>IF(A130="", A129, A130-1)</f>
        <v>0</v>
      </c>
      <c r="C129" s="2" t="s">
        <v>20</v>
      </c>
      <c r="D129" s="2" t="s">
        <v>21</v>
      </c>
      <c r="E129" s="2" t="s">
        <v>22</v>
      </c>
      <c r="F129" s="7">
        <v>3</v>
      </c>
      <c r="G129" s="7">
        <v>9</v>
      </c>
      <c r="H129" s="8">
        <v>2.574</v>
      </c>
      <c r="I129" s="9">
        <v>39000</v>
      </c>
      <c r="J129" s="9" t="str">
        <f>I129/F129</f>
        <v>0</v>
      </c>
      <c r="K129" s="9" t="str">
        <f>I129/G129</f>
        <v>0</v>
      </c>
      <c r="L129" s="9" t="str">
        <f>I129/H129</f>
        <v>0</v>
      </c>
    </row>
    <row r="130" spans="1:12">
      <c r="A130" s="10">
        <v>46028</v>
      </c>
      <c r="B130" s="10" t="str">
        <f>IF(A131="", A130, A131-1)</f>
        <v>0</v>
      </c>
      <c r="C130" s="2" t="s">
        <v>20</v>
      </c>
      <c r="D130" s="2" t="s">
        <v>21</v>
      </c>
      <c r="E130" s="2" t="s">
        <v>22</v>
      </c>
      <c r="F130" s="7">
        <v>1</v>
      </c>
      <c r="G130" s="7">
        <v>1</v>
      </c>
      <c r="H130" s="8">
        <v>0.063</v>
      </c>
      <c r="I130" s="9">
        <v>13000</v>
      </c>
      <c r="J130" s="9" t="str">
        <f>I130/F130</f>
        <v>0</v>
      </c>
      <c r="K130" s="9" t="str">
        <f>I130/G130</f>
        <v>0</v>
      </c>
      <c r="L130" s="9" t="str">
        <f>I130/H130</f>
        <v>0</v>
      </c>
    </row>
    <row r="131" spans="1:12">
      <c r="A131" s="10">
        <v>46029</v>
      </c>
      <c r="B131" s="10" t="str">
        <f>IF(A132="", A131, A132-1)</f>
        <v>0</v>
      </c>
      <c r="C131" s="2" t="s">
        <v>20</v>
      </c>
      <c r="D131" s="2" t="s">
        <v>21</v>
      </c>
      <c r="E131" s="2" t="s">
        <v>22</v>
      </c>
      <c r="F131" s="7">
        <v>1</v>
      </c>
      <c r="G131" s="7">
        <v>1</v>
      </c>
      <c r="H131" s="8">
        <v>0.028</v>
      </c>
      <c r="I131" s="9">
        <v>13000</v>
      </c>
      <c r="J131" s="9" t="str">
        <f>I131/F131</f>
        <v>0</v>
      </c>
      <c r="K131" s="9" t="str">
        <f>I131/G131</f>
        <v>0</v>
      </c>
      <c r="L131" s="9" t="str">
        <f>I131/H131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L13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J13"/>
  <sheetViews>
    <sheetView tabSelected="0" workbookViewId="0" zoomScale="95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0" customWidth="true" style="0"/>
    <col min="5" max="5" width="25" customWidth="true" style="0"/>
    <col min="6" max="6" width="20" customWidth="true" style="0"/>
    <col min="7" max="7" width="20" customWidth="true" style="0"/>
    <col min="8" max="8" width="25" customWidth="true" style="0"/>
    <col min="9" max="9" width="25" customWidth="true" style="0"/>
    <col min="10" max="10" width="25" customWidth="true" style="0"/>
  </cols>
  <sheetData>
    <row r="4" spans="1:10">
      <c r="A4" s="1" t="s">
        <v>65</v>
      </c>
      <c r="B4" s="1" t="s">
        <v>66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67</v>
      </c>
      <c r="I4" s="1" t="s">
        <v>63</v>
      </c>
      <c r="J4" s="1" t="s">
        <v>64</v>
      </c>
    </row>
    <row r="5" spans="1:10">
      <c r="A5" s="10">
        <v>45901</v>
      </c>
      <c r="B5" s="10">
        <v>45915</v>
      </c>
      <c r="C5" s="2" t="s">
        <v>20</v>
      </c>
      <c r="D5" s="2" t="s">
        <v>21</v>
      </c>
      <c r="E5" s="2" t="s">
        <v>22</v>
      </c>
      <c r="F5" s="11" t="str">
        <f>SUMIFS('Report'!$F$4:$F$10000,'Report'!$A$4:$A$10000, "&gt;=" &amp; A5,'Report'!$A$4:$A$10000, "&lt;=" &amp; B5,'Report'!$C$4:$C$10000, "&lt;=" &amp; C5,'Report'!$D$4:$D$10000, "&lt;=" &amp; D5)</f>
        <v>0</v>
      </c>
      <c r="G5" s="8" t="str">
        <f>SUMIFS('Report'!$G$4:$G$10000,'Report'!$A$4:$A$10000, "&gt;=" &amp; A5,'Report'!$A$4:$A$10000, "&lt;=" &amp; B5,'Report'!$C$4:$C$10000, "&lt;=" &amp; C5,'Report'!$D$4:$D$10000, "&lt;=" &amp; D5)</f>
        <v>0</v>
      </c>
      <c r="H5" s="9">
        <v>1650000</v>
      </c>
      <c r="I5" s="9" t="str">
        <f>IF(F5=0, 0, H5/F5)</f>
        <v>0</v>
      </c>
      <c r="J5" s="9" t="str">
        <f>IF(G5=0, 0, H5/G5)</f>
        <v>0</v>
      </c>
    </row>
    <row r="6" spans="1:10">
      <c r="A6" s="10">
        <v>45916</v>
      </c>
      <c r="B6" s="10">
        <v>45930</v>
      </c>
      <c r="C6" s="2" t="s">
        <v>20</v>
      </c>
      <c r="D6" s="2" t="s">
        <v>21</v>
      </c>
      <c r="E6" s="2" t="s">
        <v>22</v>
      </c>
      <c r="F6" s="11" t="str">
        <f>SUMIFS('Report'!$F$4:$F$10000,'Report'!$A$4:$A$10000, "&gt;=" &amp; A6,'Report'!$A$4:$A$10000, "&lt;=" &amp; B6,'Report'!$C$4:$C$10000, "&lt;=" &amp; C6,'Report'!$D$4:$D$10000, "&lt;=" &amp; D6)</f>
        <v>0</v>
      </c>
      <c r="G6" s="8" t="str">
        <f>SUMIFS('Report'!$G$4:$G$10000,'Report'!$A$4:$A$10000, "&gt;=" &amp; A6,'Report'!$A$4:$A$10000, "&lt;=" &amp; B6,'Report'!$C$4:$C$10000, "&lt;=" &amp; C6,'Report'!$D$4:$D$10000, "&lt;=" &amp; D6)</f>
        <v>0</v>
      </c>
      <c r="H6" s="9">
        <v>1650000</v>
      </c>
      <c r="I6" s="9" t="str">
        <f>IF(F6=0, 0, H6/F6)</f>
        <v>0</v>
      </c>
      <c r="J6" s="9" t="str">
        <f>IF(G6=0, 0, H6/G6)</f>
        <v>0</v>
      </c>
    </row>
    <row r="7" spans="1:10">
      <c r="A7" s="10">
        <v>45931</v>
      </c>
      <c r="B7" s="10">
        <v>45945</v>
      </c>
      <c r="C7" s="2" t="s">
        <v>20</v>
      </c>
      <c r="D7" s="2" t="s">
        <v>21</v>
      </c>
      <c r="E7" s="2" t="s">
        <v>22</v>
      </c>
      <c r="F7" s="11" t="str">
        <f>SUMIFS('Report'!$F$4:$F$10000,'Report'!$A$4:$A$10000, "&gt;=" &amp; A7,'Report'!$A$4:$A$10000, "&lt;=" &amp; B7,'Report'!$C$4:$C$10000, "&lt;=" &amp; C7,'Report'!$D$4:$D$10000, "&lt;=" &amp; D7)</f>
        <v>0</v>
      </c>
      <c r="G7" s="8" t="str">
        <f>SUMIFS('Report'!$G$4:$G$10000,'Report'!$A$4:$A$10000, "&gt;=" &amp; A7,'Report'!$A$4:$A$10000, "&lt;=" &amp; B7,'Report'!$C$4:$C$10000, "&lt;=" &amp; C7,'Report'!$D$4:$D$10000, "&lt;=" &amp; D7)</f>
        <v>0</v>
      </c>
      <c r="H7" s="9">
        <v>1650000</v>
      </c>
      <c r="I7" s="9" t="str">
        <f>IF(F7=0, 0, H7/F7)</f>
        <v>0</v>
      </c>
      <c r="J7" s="9" t="str">
        <f>IF(G7=0, 0, H7/G7)</f>
        <v>0</v>
      </c>
    </row>
    <row r="8" spans="1:10">
      <c r="A8" s="10">
        <v>45946</v>
      </c>
      <c r="B8" s="10">
        <v>45961</v>
      </c>
      <c r="C8" s="2" t="s">
        <v>20</v>
      </c>
      <c r="D8" s="2" t="s">
        <v>21</v>
      </c>
      <c r="E8" s="2" t="s">
        <v>22</v>
      </c>
      <c r="F8" s="11" t="str">
        <f>SUMIFS('Report'!$F$4:$F$10000,'Report'!$A$4:$A$10000, "&gt;=" &amp; A8,'Report'!$A$4:$A$10000, "&lt;=" &amp; B8,'Report'!$C$4:$C$10000, "&lt;=" &amp; C8,'Report'!$D$4:$D$10000, "&lt;=" &amp; D8)</f>
        <v>0</v>
      </c>
      <c r="G8" s="8" t="str">
        <f>SUMIFS('Report'!$G$4:$G$10000,'Report'!$A$4:$A$10000, "&gt;=" &amp; A8,'Report'!$A$4:$A$10000, "&lt;=" &amp; B8,'Report'!$C$4:$C$10000, "&lt;=" &amp; C8,'Report'!$D$4:$D$10000, "&lt;=" &amp; D8)</f>
        <v>0</v>
      </c>
      <c r="H8" s="9">
        <v>1760000</v>
      </c>
      <c r="I8" s="9" t="str">
        <f>IF(F8=0, 0, H8/F8)</f>
        <v>0</v>
      </c>
      <c r="J8" s="9" t="str">
        <f>IF(G8=0, 0, H8/G8)</f>
        <v>0</v>
      </c>
    </row>
    <row r="9" spans="1:10">
      <c r="A9" s="10">
        <v>45962</v>
      </c>
      <c r="B9" s="10">
        <v>45976</v>
      </c>
      <c r="C9" s="2" t="s">
        <v>20</v>
      </c>
      <c r="D9" s="2" t="s">
        <v>21</v>
      </c>
      <c r="E9" s="2" t="s">
        <v>22</v>
      </c>
      <c r="F9" s="11" t="str">
        <f>SUMIFS('Report'!$F$4:$F$10000,'Report'!$A$4:$A$10000, "&gt;=" &amp; A9,'Report'!$A$4:$A$10000, "&lt;=" &amp; B9,'Report'!$C$4:$C$10000, "&lt;=" &amp; C9,'Report'!$D$4:$D$10000, "&lt;=" &amp; D9)</f>
        <v>0</v>
      </c>
      <c r="G9" s="8" t="str">
        <f>SUMIFS('Report'!$G$4:$G$10000,'Report'!$A$4:$A$10000, "&gt;=" &amp; A9,'Report'!$A$4:$A$10000, "&lt;=" &amp; B9,'Report'!$C$4:$C$10000, "&lt;=" &amp; C9,'Report'!$D$4:$D$10000, "&lt;=" &amp; D9)</f>
        <v>0</v>
      </c>
      <c r="H9" s="9">
        <v>1650000</v>
      </c>
      <c r="I9" s="9" t="str">
        <f>IF(F9=0, 0, H9/F9)</f>
        <v>0</v>
      </c>
      <c r="J9" s="9" t="str">
        <f>IF(G9=0, 0, H9/G9)</f>
        <v>0</v>
      </c>
    </row>
    <row r="10" spans="1:10">
      <c r="A10" s="10">
        <v>45977</v>
      </c>
      <c r="B10" s="10">
        <v>45991</v>
      </c>
      <c r="C10" s="2" t="s">
        <v>20</v>
      </c>
      <c r="D10" s="2" t="s">
        <v>21</v>
      </c>
      <c r="E10" s="2" t="s">
        <v>22</v>
      </c>
      <c r="F10" s="11" t="str">
        <f>SUMIFS('Report'!$F$4:$F$10000,'Report'!$A$4:$A$10000, "&gt;=" &amp; A10,'Report'!$A$4:$A$10000, "&lt;=" &amp; B10,'Report'!$C$4:$C$10000, "&lt;=" &amp; C10,'Report'!$D$4:$D$10000, "&lt;=" &amp; D10)</f>
        <v>0</v>
      </c>
      <c r="G10" s="8" t="str">
        <f>SUMIFS('Report'!$G$4:$G$10000,'Report'!$A$4:$A$10000, "&gt;=" &amp; A10,'Report'!$A$4:$A$10000, "&lt;=" &amp; B10,'Report'!$C$4:$C$10000, "&lt;=" &amp; C10,'Report'!$D$4:$D$10000, "&lt;=" &amp; D10)</f>
        <v>0</v>
      </c>
      <c r="H10" s="9">
        <v>1650000</v>
      </c>
      <c r="I10" s="9" t="str">
        <f>IF(F10=0, 0, H10/F10)</f>
        <v>0</v>
      </c>
      <c r="J10" s="9" t="str">
        <f>IF(G10=0, 0, H10/G10)</f>
        <v>0</v>
      </c>
    </row>
    <row r="11" spans="1:10">
      <c r="A11" s="10">
        <v>45992</v>
      </c>
      <c r="B11" s="10">
        <v>46006</v>
      </c>
      <c r="C11" s="2" t="s">
        <v>20</v>
      </c>
      <c r="D11" s="2" t="s">
        <v>21</v>
      </c>
      <c r="E11" s="2" t="s">
        <v>22</v>
      </c>
      <c r="F11" s="11" t="str">
        <f>SUMIFS('Report'!$F$4:$F$10000,'Report'!$A$4:$A$10000, "&gt;=" &amp; A11,'Report'!$A$4:$A$10000, "&lt;=" &amp; B11,'Report'!$C$4:$C$10000, "&lt;=" &amp; C11,'Report'!$D$4:$D$10000, "&lt;=" &amp; D11)</f>
        <v>0</v>
      </c>
      <c r="G11" s="8" t="str">
        <f>SUMIFS('Report'!$G$4:$G$10000,'Report'!$A$4:$A$10000, "&gt;=" &amp; A11,'Report'!$A$4:$A$10000, "&lt;=" &amp; B11,'Report'!$C$4:$C$10000, "&lt;=" &amp; C11,'Report'!$D$4:$D$10000, "&lt;=" &amp; D11)</f>
        <v>0</v>
      </c>
      <c r="H11" s="9">
        <v>1650000</v>
      </c>
      <c r="I11" s="9" t="str">
        <f>IF(F11=0, 0, H11/F11)</f>
        <v>0</v>
      </c>
      <c r="J11" s="9" t="str">
        <f>IF(G11=0, 0, H11/G11)</f>
        <v>0</v>
      </c>
    </row>
    <row r="12" spans="1:10">
      <c r="A12" s="10">
        <v>46007</v>
      </c>
      <c r="B12" s="10">
        <v>46022</v>
      </c>
      <c r="C12" s="2" t="s">
        <v>20</v>
      </c>
      <c r="D12" s="2" t="s">
        <v>21</v>
      </c>
      <c r="E12" s="2" t="s">
        <v>22</v>
      </c>
      <c r="F12" s="11" t="str">
        <f>SUMIFS('Report'!$F$4:$F$10000,'Report'!$A$4:$A$10000, "&gt;=" &amp; A12,'Report'!$A$4:$A$10000, "&lt;=" &amp; B12,'Report'!$C$4:$C$10000, "&lt;=" &amp; C12,'Report'!$D$4:$D$10000, "&lt;=" &amp; D12)</f>
        <v>0</v>
      </c>
      <c r="G12" s="8" t="str">
        <f>SUMIFS('Report'!$G$4:$G$10000,'Report'!$A$4:$A$10000, "&gt;=" &amp; A12,'Report'!$A$4:$A$10000, "&lt;=" &amp; B12,'Report'!$C$4:$C$10000, "&lt;=" &amp; C12,'Report'!$D$4:$D$10000, "&lt;=" &amp; D12)</f>
        <v>0</v>
      </c>
      <c r="H12" s="9">
        <v>1896501</v>
      </c>
      <c r="I12" s="9" t="str">
        <f>IF(F12=0, 0, H12/F12)</f>
        <v>0</v>
      </c>
      <c r="J12" s="9" t="str">
        <f>IF(G12=0, 0, H12/G12)</f>
        <v>0</v>
      </c>
    </row>
    <row r="13" spans="1:10">
      <c r="A13" s="10">
        <v>46023</v>
      </c>
      <c r="B13" s="10">
        <v>46037</v>
      </c>
      <c r="C13" s="2" t="s">
        <v>20</v>
      </c>
      <c r="D13" s="2" t="s">
        <v>21</v>
      </c>
      <c r="E13" s="2" t="s">
        <v>22</v>
      </c>
      <c r="F13" s="11" t="str">
        <f>SUMIFS('Report'!$F$4:$F$10000,'Report'!$A$4:$A$10000, "&gt;=" &amp; A13,'Report'!$A$4:$A$10000, "&lt;=" &amp; B13,'Report'!$C$4:$C$10000, "&lt;=" &amp; C13,'Report'!$D$4:$D$10000, "&lt;=" &amp; D13)</f>
        <v>0</v>
      </c>
      <c r="G13" s="8" t="str">
        <f>SUMIFS('Report'!$G$4:$G$10000,'Report'!$A$4:$A$10000, "&gt;=" &amp; A13,'Report'!$A$4:$A$10000, "&lt;=" &amp; B13,'Report'!$C$4:$C$10000, "&lt;=" &amp; C13,'Report'!$D$4:$D$10000, "&lt;=" &amp; D13)</f>
        <v>0</v>
      </c>
      <c r="H13" s="9">
        <v>2210000</v>
      </c>
      <c r="I13" s="9" t="str">
        <f>IF(F13=0, 0, H13/F13)</f>
        <v>0</v>
      </c>
      <c r="J13" s="9" t="str">
        <f>IF(G13=0, 0, H13/G13)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J1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J13"/>
  <sheetViews>
    <sheetView tabSelected="0" workbookViewId="0" zoomScale="95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0" customWidth="true" style="0"/>
    <col min="5" max="5" width="25" customWidth="true" style="0"/>
    <col min="6" max="6" width="20" customWidth="true" style="0"/>
    <col min="7" max="7" width="20" customWidth="true" style="0"/>
    <col min="8" max="8" width="25" customWidth="true" style="0"/>
    <col min="9" max="9" width="25" customWidth="true" style="0"/>
    <col min="10" max="10" width="25" customWidth="true" style="0"/>
  </cols>
  <sheetData>
    <row r="4" spans="1:10">
      <c r="A4" s="1" t="s">
        <v>65</v>
      </c>
      <c r="B4" s="1" t="s">
        <v>66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67</v>
      </c>
      <c r="I4" s="1" t="s">
        <v>63</v>
      </c>
      <c r="J4" s="1" t="s">
        <v>64</v>
      </c>
    </row>
    <row r="5" spans="1:10">
      <c r="A5" s="10">
        <v>45901</v>
      </c>
      <c r="B5" s="10">
        <v>45915</v>
      </c>
      <c r="C5" s="2" t="s">
        <v>20</v>
      </c>
      <c r="D5" s="2" t="s">
        <v>21</v>
      </c>
      <c r="E5" s="2" t="s">
        <v>22</v>
      </c>
      <c r="F5" s="11" t="str">
        <f>SUMIFS('Report'!$F$4:$F$10000,'Report'!$A$4:$A$10000, "&gt;=" &amp; A5,'Report'!$A$4:$A$10000, "&lt;=" &amp; B5,'Report'!$C$4:$C$10000, "&lt;=" &amp; C5,'Report'!$D$4:$D$10000, "&lt;=" &amp; D5)</f>
        <v>0</v>
      </c>
      <c r="G5" s="8" t="str">
        <f>SUMIFS('Report'!$G$4:$G$10000,'Report'!$A$4:$A$10000, "&gt;=" &amp; A5,'Report'!$A$4:$A$10000, "&lt;=" &amp; B5,'Report'!$C$4:$C$10000, "&lt;=" &amp; C5,'Report'!$D$4:$D$10000, "&lt;=" &amp; D5)</f>
        <v>0</v>
      </c>
      <c r="H5" s="9">
        <v>200000</v>
      </c>
      <c r="I5" s="9" t="str">
        <f>IF(F5=0, 0, H5/F5)</f>
        <v>0</v>
      </c>
      <c r="J5" s="9" t="str">
        <f>IF(G5=0, 0, H5/G5)</f>
        <v>0</v>
      </c>
    </row>
    <row r="6" spans="1:10">
      <c r="A6" s="10">
        <v>45916</v>
      </c>
      <c r="B6" s="10">
        <v>45930</v>
      </c>
      <c r="C6" s="2" t="s">
        <v>20</v>
      </c>
      <c r="D6" s="2" t="s">
        <v>21</v>
      </c>
      <c r="E6" s="2" t="s">
        <v>22</v>
      </c>
      <c r="F6" s="11" t="str">
        <f>SUMIFS('Report'!$F$4:$F$10000,'Report'!$A$4:$A$10000, "&gt;=" &amp; A6,'Report'!$A$4:$A$10000, "&lt;=" &amp; B6,'Report'!$C$4:$C$10000, "&lt;=" &amp; C6,'Report'!$D$4:$D$10000, "&lt;=" &amp; D6)</f>
        <v>0</v>
      </c>
      <c r="G6" s="8" t="str">
        <f>SUMIFS('Report'!$G$4:$G$10000,'Report'!$A$4:$A$10000, "&gt;=" &amp; A6,'Report'!$A$4:$A$10000, "&lt;=" &amp; B6,'Report'!$C$4:$C$10000, "&lt;=" &amp; C6,'Report'!$D$4:$D$10000, "&lt;=" &amp; D6)</f>
        <v>0</v>
      </c>
      <c r="H6" s="9">
        <v>100000</v>
      </c>
      <c r="I6" s="9" t="str">
        <f>IF(F6=0, 0, H6/F6)</f>
        <v>0</v>
      </c>
      <c r="J6" s="9" t="str">
        <f>IF(G6=0, 0, H6/G6)</f>
        <v>0</v>
      </c>
    </row>
    <row r="7" spans="1:10">
      <c r="A7" s="10">
        <v>45931</v>
      </c>
      <c r="B7" s="10">
        <v>45945</v>
      </c>
      <c r="C7" s="2" t="s">
        <v>20</v>
      </c>
      <c r="D7" s="2" t="s">
        <v>21</v>
      </c>
      <c r="E7" s="2" t="s">
        <v>22</v>
      </c>
      <c r="F7" s="11" t="str">
        <f>SUMIFS('Report'!$F$4:$F$10000,'Report'!$A$4:$A$10000, "&gt;=" &amp; A7,'Report'!$A$4:$A$10000, "&lt;=" &amp; B7,'Report'!$C$4:$C$10000, "&lt;=" &amp; C7,'Report'!$D$4:$D$10000, "&lt;=" &amp; D7)</f>
        <v>0</v>
      </c>
      <c r="G7" s="8" t="str">
        <f>SUMIFS('Report'!$G$4:$G$10000,'Report'!$A$4:$A$10000, "&gt;=" &amp; A7,'Report'!$A$4:$A$10000, "&lt;=" &amp; B7,'Report'!$C$4:$C$10000, "&lt;=" &amp; C7,'Report'!$D$4:$D$10000, "&lt;=" &amp; D7)</f>
        <v>0</v>
      </c>
      <c r="H7" s="9">
        <v>100000</v>
      </c>
      <c r="I7" s="9" t="str">
        <f>IF(F7=0, 0, H7/F7)</f>
        <v>0</v>
      </c>
      <c r="J7" s="9" t="str">
        <f>IF(G7=0, 0, H7/G7)</f>
        <v>0</v>
      </c>
    </row>
    <row r="8" spans="1:10">
      <c r="A8" s="10">
        <v>45946</v>
      </c>
      <c r="B8" s="10">
        <v>45961</v>
      </c>
      <c r="C8" s="2" t="s">
        <v>20</v>
      </c>
      <c r="D8" s="2" t="s">
        <v>21</v>
      </c>
      <c r="E8" s="2" t="s">
        <v>22</v>
      </c>
      <c r="F8" s="11" t="str">
        <f>SUMIFS('Report'!$F$4:$F$10000,'Report'!$A$4:$A$10000, "&gt;=" &amp; A8,'Report'!$A$4:$A$10000, "&lt;=" &amp; B8,'Report'!$C$4:$C$10000, "&lt;=" &amp; C8,'Report'!$D$4:$D$10000, "&lt;=" &amp; D8)</f>
        <v>0</v>
      </c>
      <c r="G8" s="8" t="str">
        <f>SUMIFS('Report'!$G$4:$G$10000,'Report'!$A$4:$A$10000, "&gt;=" &amp; A8,'Report'!$A$4:$A$10000, "&lt;=" &amp; B8,'Report'!$C$4:$C$10000, "&lt;=" &amp; C8,'Report'!$D$4:$D$10000, "&lt;=" &amp; D8)</f>
        <v>0</v>
      </c>
      <c r="H8" s="9">
        <v>100000</v>
      </c>
      <c r="I8" s="9" t="str">
        <f>IF(F8=0, 0, H8/F8)</f>
        <v>0</v>
      </c>
      <c r="J8" s="9" t="str">
        <f>IF(G8=0, 0, H8/G8)</f>
        <v>0</v>
      </c>
    </row>
    <row r="9" spans="1:10">
      <c r="A9" s="10">
        <v>45962</v>
      </c>
      <c r="B9" s="10">
        <v>45976</v>
      </c>
      <c r="C9" s="2" t="s">
        <v>20</v>
      </c>
      <c r="D9" s="2" t="s">
        <v>21</v>
      </c>
      <c r="E9" s="2" t="s">
        <v>22</v>
      </c>
      <c r="F9" s="11" t="str">
        <f>SUMIFS('Report'!$F$4:$F$10000,'Report'!$A$4:$A$10000, "&gt;=" &amp; A9,'Report'!$A$4:$A$10000, "&lt;=" &amp; B9,'Report'!$C$4:$C$10000, "&lt;=" &amp; C9,'Report'!$D$4:$D$10000, "&lt;=" &amp; D9)</f>
        <v>0</v>
      </c>
      <c r="G9" s="8" t="str">
        <f>SUMIFS('Report'!$G$4:$G$10000,'Report'!$A$4:$A$10000, "&gt;=" &amp; A9,'Report'!$A$4:$A$10000, "&lt;=" &amp; B9,'Report'!$C$4:$C$10000, "&lt;=" &amp; C9,'Report'!$D$4:$D$10000, "&lt;=" &amp; D9)</f>
        <v>0</v>
      </c>
      <c r="H9" s="9">
        <v>100000</v>
      </c>
      <c r="I9" s="9" t="str">
        <f>IF(F9=0, 0, H9/F9)</f>
        <v>0</v>
      </c>
      <c r="J9" s="9" t="str">
        <f>IF(G9=0, 0, H9/G9)</f>
        <v>0</v>
      </c>
    </row>
    <row r="10" spans="1:10">
      <c r="A10" s="10">
        <v>45977</v>
      </c>
      <c r="B10" s="10">
        <v>45991</v>
      </c>
      <c r="C10" s="2" t="s">
        <v>20</v>
      </c>
      <c r="D10" s="2" t="s">
        <v>21</v>
      </c>
      <c r="E10" s="2" t="s">
        <v>22</v>
      </c>
      <c r="F10" s="11" t="str">
        <f>SUMIFS('Report'!$F$4:$F$10000,'Report'!$A$4:$A$10000, "&gt;=" &amp; A10,'Report'!$A$4:$A$10000, "&lt;=" &amp; B10,'Report'!$C$4:$C$10000, "&lt;=" &amp; C10,'Report'!$D$4:$D$10000, "&lt;=" &amp; D10)</f>
        <v>0</v>
      </c>
      <c r="G10" s="8" t="str">
        <f>SUMIFS('Report'!$G$4:$G$10000,'Report'!$A$4:$A$10000, "&gt;=" &amp; A10,'Report'!$A$4:$A$10000, "&lt;=" &amp; B10,'Report'!$C$4:$C$10000, "&lt;=" &amp; C10,'Report'!$D$4:$D$10000, "&lt;=" &amp; D10)</f>
        <v>0</v>
      </c>
      <c r="H10" s="9">
        <v>100000</v>
      </c>
      <c r="I10" s="9" t="str">
        <f>IF(F10=0, 0, H10/F10)</f>
        <v>0</v>
      </c>
      <c r="J10" s="9" t="str">
        <f>IF(G10=0, 0, H10/G10)</f>
        <v>0</v>
      </c>
    </row>
    <row r="11" spans="1:10">
      <c r="A11" s="10">
        <v>45992</v>
      </c>
      <c r="B11" s="10">
        <v>46006</v>
      </c>
      <c r="C11" s="2" t="s">
        <v>20</v>
      </c>
      <c r="D11" s="2" t="s">
        <v>21</v>
      </c>
      <c r="E11" s="2" t="s">
        <v>22</v>
      </c>
      <c r="F11" s="11" t="str">
        <f>SUMIFS('Report'!$F$4:$F$10000,'Report'!$A$4:$A$10000, "&gt;=" &amp; A11,'Report'!$A$4:$A$10000, "&lt;=" &amp; B11,'Report'!$C$4:$C$10000, "&lt;=" &amp; C11,'Report'!$D$4:$D$10000, "&lt;=" &amp; D11)</f>
        <v>0</v>
      </c>
      <c r="G11" s="8" t="str">
        <f>SUMIFS('Report'!$G$4:$G$10000,'Report'!$A$4:$A$10000, "&gt;=" &amp; A11,'Report'!$A$4:$A$10000, "&lt;=" &amp; B11,'Report'!$C$4:$C$10000, "&lt;=" &amp; C11,'Report'!$D$4:$D$10000, "&lt;=" &amp; D11)</f>
        <v>0</v>
      </c>
      <c r="H11" s="9">
        <v>100000</v>
      </c>
      <c r="I11" s="9" t="str">
        <f>IF(F11=0, 0, H11/F11)</f>
        <v>0</v>
      </c>
      <c r="J11" s="9" t="str">
        <f>IF(G11=0, 0, H11/G11)</f>
        <v>0</v>
      </c>
    </row>
    <row r="12" spans="1:10">
      <c r="A12" s="10">
        <v>46007</v>
      </c>
      <c r="B12" s="10">
        <v>46022</v>
      </c>
      <c r="C12" s="2" t="s">
        <v>20</v>
      </c>
      <c r="D12" s="2" t="s">
        <v>21</v>
      </c>
      <c r="E12" s="2" t="s">
        <v>22</v>
      </c>
      <c r="F12" s="11" t="str">
        <f>SUMIFS('Report'!$F$4:$F$10000,'Report'!$A$4:$A$10000, "&gt;=" &amp; A12,'Report'!$A$4:$A$10000, "&lt;=" &amp; B12,'Report'!$C$4:$C$10000, "&lt;=" &amp; C12,'Report'!$D$4:$D$10000, "&lt;=" &amp; D12)</f>
        <v>0</v>
      </c>
      <c r="G12" s="8" t="str">
        <f>SUMIFS('Report'!$G$4:$G$10000,'Report'!$A$4:$A$10000, "&gt;=" &amp; A12,'Report'!$A$4:$A$10000, "&lt;=" &amp; B12,'Report'!$C$4:$C$10000, "&lt;=" &amp; C12,'Report'!$D$4:$D$10000, "&lt;=" &amp; D12)</f>
        <v>0</v>
      </c>
      <c r="H12" s="9">
        <v>250000</v>
      </c>
      <c r="I12" s="9" t="str">
        <f>IF(F12=0, 0, H12/F12)</f>
        <v>0</v>
      </c>
      <c r="J12" s="9" t="str">
        <f>IF(G12=0, 0, H12/G12)</f>
        <v>0</v>
      </c>
    </row>
    <row r="13" spans="1:10">
      <c r="A13" s="10">
        <v>46023</v>
      </c>
      <c r="B13" s="10">
        <v>46037</v>
      </c>
      <c r="C13" s="2" t="s">
        <v>20</v>
      </c>
      <c r="D13" s="2" t="s">
        <v>21</v>
      </c>
      <c r="E13" s="2" t="s">
        <v>22</v>
      </c>
      <c r="F13" s="11" t="str">
        <f>SUMIFS('Report'!$F$4:$F$10000,'Report'!$A$4:$A$10000, "&gt;=" &amp; A13,'Report'!$A$4:$A$10000, "&lt;=" &amp; B13,'Report'!$C$4:$C$10000, "&lt;=" &amp; C13,'Report'!$D$4:$D$10000, "&lt;=" &amp; D13)</f>
        <v>0</v>
      </c>
      <c r="G13" s="8" t="str">
        <f>SUMIFS('Report'!$G$4:$G$10000,'Report'!$A$4:$A$10000, "&gt;=" &amp; A13,'Report'!$A$4:$A$10000, "&lt;=" &amp; B13,'Report'!$C$4:$C$10000, "&lt;=" &amp; C13,'Report'!$D$4:$D$10000, "&lt;=" &amp; D13)</f>
        <v>0</v>
      </c>
      <c r="H13" s="9">
        <v>9523265</v>
      </c>
      <c r="I13" s="9" t="str">
        <f>IF(F13=0, 0, H13/F13)</f>
        <v>0</v>
      </c>
      <c r="J13" s="9" t="str">
        <f>IF(G13=0, 0, H13/G13)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J1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J13"/>
  <sheetViews>
    <sheetView tabSelected="0" workbookViewId="0" zoomScale="95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0" customWidth="true" style="0"/>
    <col min="5" max="5" width="25" customWidth="true" style="0"/>
    <col min="6" max="6" width="20" customWidth="true" style="0"/>
    <col min="7" max="7" width="20" customWidth="true" style="0"/>
    <col min="8" max="8" width="25" customWidth="true" style="0"/>
    <col min="9" max="9" width="25" customWidth="true" style="0"/>
    <col min="10" max="10" width="25" customWidth="true" style="0"/>
  </cols>
  <sheetData>
    <row r="4" spans="1:10">
      <c r="A4" s="1" t="s">
        <v>65</v>
      </c>
      <c r="B4" s="1" t="s">
        <v>66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67</v>
      </c>
      <c r="I4" s="1" t="s">
        <v>63</v>
      </c>
      <c r="J4" s="1" t="s">
        <v>64</v>
      </c>
    </row>
    <row r="5" spans="1:10">
      <c r="A5" s="10">
        <v>45901</v>
      </c>
      <c r="B5" s="10">
        <v>45915</v>
      </c>
      <c r="C5" s="2" t="s">
        <v>20</v>
      </c>
      <c r="D5" s="2" t="s">
        <v>21</v>
      </c>
      <c r="E5" s="2" t="s">
        <v>22</v>
      </c>
      <c r="F5" s="11" t="str">
        <f>SUMIFS('Report'!$F$4:$F$10000,'Report'!$A$4:$A$10000, "&gt;=" &amp; A5,'Report'!$A$4:$A$10000, "&lt;=" &amp; B5,'Report'!$C$4:$C$10000, "&lt;=" &amp; C5,'Report'!$D$4:$D$10000, "&lt;=" &amp; D5)</f>
        <v>0</v>
      </c>
      <c r="G5" s="8" t="str">
        <f>SUMIFS('Report'!$G$4:$G$10000,'Report'!$A$4:$A$10000, "&gt;=" &amp; A5,'Report'!$A$4:$A$10000, "&lt;=" &amp; B5,'Report'!$C$4:$C$10000, "&lt;=" &amp; C5,'Report'!$D$4:$D$10000, "&lt;=" &amp; D5)</f>
        <v>0</v>
      </c>
      <c r="H5" s="9">
        <v>200000</v>
      </c>
      <c r="I5" s="9" t="str">
        <f>IF(F5=0, 0, H5/F5)</f>
        <v>0</v>
      </c>
      <c r="J5" s="9" t="str">
        <f>IF(G5=0, 0, H5/G5)</f>
        <v>0</v>
      </c>
    </row>
    <row r="6" spans="1:10">
      <c r="A6" s="10">
        <v>45916</v>
      </c>
      <c r="B6" s="10">
        <v>45930</v>
      </c>
      <c r="C6" s="2" t="s">
        <v>20</v>
      </c>
      <c r="D6" s="2" t="s">
        <v>21</v>
      </c>
      <c r="E6" s="2" t="s">
        <v>22</v>
      </c>
      <c r="F6" s="11" t="str">
        <f>SUMIFS('Report'!$F$4:$F$10000,'Report'!$A$4:$A$10000, "&gt;=" &amp; A6,'Report'!$A$4:$A$10000, "&lt;=" &amp; B6,'Report'!$C$4:$C$10000, "&lt;=" &amp; C6,'Report'!$D$4:$D$10000, "&lt;=" &amp; D6)</f>
        <v>0</v>
      </c>
      <c r="G6" s="8" t="str">
        <f>SUMIFS('Report'!$G$4:$G$10000,'Report'!$A$4:$A$10000, "&gt;=" &amp; A6,'Report'!$A$4:$A$10000, "&lt;=" &amp; B6,'Report'!$C$4:$C$10000, "&lt;=" &amp; C6,'Report'!$D$4:$D$10000, "&lt;=" &amp; D6)</f>
        <v>0</v>
      </c>
      <c r="H6" s="9">
        <v>100000</v>
      </c>
      <c r="I6" s="9" t="str">
        <f>IF(F6=0, 0, H6/F6)</f>
        <v>0</v>
      </c>
      <c r="J6" s="9" t="str">
        <f>IF(G6=0, 0, H6/G6)</f>
        <v>0</v>
      </c>
    </row>
    <row r="7" spans="1:10">
      <c r="A7" s="10">
        <v>45931</v>
      </c>
      <c r="B7" s="10">
        <v>45945</v>
      </c>
      <c r="C7" s="2" t="s">
        <v>20</v>
      </c>
      <c r="D7" s="2" t="s">
        <v>21</v>
      </c>
      <c r="E7" s="2" t="s">
        <v>22</v>
      </c>
      <c r="F7" s="11" t="str">
        <f>SUMIFS('Report'!$F$4:$F$10000,'Report'!$A$4:$A$10000, "&gt;=" &amp; A7,'Report'!$A$4:$A$10000, "&lt;=" &amp; B7,'Report'!$C$4:$C$10000, "&lt;=" &amp; C7,'Report'!$D$4:$D$10000, "&lt;=" &amp; D7)</f>
        <v>0</v>
      </c>
      <c r="G7" s="8" t="str">
        <f>SUMIFS('Report'!$G$4:$G$10000,'Report'!$A$4:$A$10000, "&gt;=" &amp; A7,'Report'!$A$4:$A$10000, "&lt;=" &amp; B7,'Report'!$C$4:$C$10000, "&lt;=" &amp; C7,'Report'!$D$4:$D$10000, "&lt;=" &amp; D7)</f>
        <v>0</v>
      </c>
      <c r="H7" s="9">
        <v>100000</v>
      </c>
      <c r="I7" s="9" t="str">
        <f>IF(F7=0, 0, H7/F7)</f>
        <v>0</v>
      </c>
      <c r="J7" s="9" t="str">
        <f>IF(G7=0, 0, H7/G7)</f>
        <v>0</v>
      </c>
    </row>
    <row r="8" spans="1:10">
      <c r="A8" s="10">
        <v>45946</v>
      </c>
      <c r="B8" s="10">
        <v>45961</v>
      </c>
      <c r="C8" s="2" t="s">
        <v>20</v>
      </c>
      <c r="D8" s="2" t="s">
        <v>21</v>
      </c>
      <c r="E8" s="2" t="s">
        <v>22</v>
      </c>
      <c r="F8" s="11" t="str">
        <f>SUMIFS('Report'!$F$4:$F$10000,'Report'!$A$4:$A$10000, "&gt;=" &amp; A8,'Report'!$A$4:$A$10000, "&lt;=" &amp; B8,'Report'!$C$4:$C$10000, "&lt;=" &amp; C8,'Report'!$D$4:$D$10000, "&lt;=" &amp; D8)</f>
        <v>0</v>
      </c>
      <c r="G8" s="8" t="str">
        <f>SUMIFS('Report'!$G$4:$G$10000,'Report'!$A$4:$A$10000, "&gt;=" &amp; A8,'Report'!$A$4:$A$10000, "&lt;=" &amp; B8,'Report'!$C$4:$C$10000, "&lt;=" &amp; C8,'Report'!$D$4:$D$10000, "&lt;=" &amp; D8)</f>
        <v>0</v>
      </c>
      <c r="H8" s="9">
        <v>100000</v>
      </c>
      <c r="I8" s="9" t="str">
        <f>IF(F8=0, 0, H8/F8)</f>
        <v>0</v>
      </c>
      <c r="J8" s="9" t="str">
        <f>IF(G8=0, 0, H8/G8)</f>
        <v>0</v>
      </c>
    </row>
    <row r="9" spans="1:10">
      <c r="A9" s="10">
        <v>45962</v>
      </c>
      <c r="B9" s="10">
        <v>45976</v>
      </c>
      <c r="C9" s="2" t="s">
        <v>20</v>
      </c>
      <c r="D9" s="2" t="s">
        <v>21</v>
      </c>
      <c r="E9" s="2" t="s">
        <v>22</v>
      </c>
      <c r="F9" s="11" t="str">
        <f>SUMIFS('Report'!$F$4:$F$10000,'Report'!$A$4:$A$10000, "&gt;=" &amp; A9,'Report'!$A$4:$A$10000, "&lt;=" &amp; B9,'Report'!$C$4:$C$10000, "&lt;=" &amp; C9,'Report'!$D$4:$D$10000, "&lt;=" &amp; D9)</f>
        <v>0</v>
      </c>
      <c r="G9" s="8" t="str">
        <f>SUMIFS('Report'!$G$4:$G$10000,'Report'!$A$4:$A$10000, "&gt;=" &amp; A9,'Report'!$A$4:$A$10000, "&lt;=" &amp; B9,'Report'!$C$4:$C$10000, "&lt;=" &amp; C9,'Report'!$D$4:$D$10000, "&lt;=" &amp; D9)</f>
        <v>0</v>
      </c>
      <c r="H9" s="9">
        <v>100000</v>
      </c>
      <c r="I9" s="9" t="str">
        <f>IF(F9=0, 0, H9/F9)</f>
        <v>0</v>
      </c>
      <c r="J9" s="9" t="str">
        <f>IF(G9=0, 0, H9/G9)</f>
        <v>0</v>
      </c>
    </row>
    <row r="10" spans="1:10">
      <c r="A10" s="10">
        <v>45977</v>
      </c>
      <c r="B10" s="10">
        <v>45991</v>
      </c>
      <c r="C10" s="2" t="s">
        <v>20</v>
      </c>
      <c r="D10" s="2" t="s">
        <v>21</v>
      </c>
      <c r="E10" s="2" t="s">
        <v>22</v>
      </c>
      <c r="F10" s="11" t="str">
        <f>SUMIFS('Report'!$F$4:$F$10000,'Report'!$A$4:$A$10000, "&gt;=" &amp; A10,'Report'!$A$4:$A$10000, "&lt;=" &amp; B10,'Report'!$C$4:$C$10000, "&lt;=" &amp; C10,'Report'!$D$4:$D$10000, "&lt;=" &amp; D10)</f>
        <v>0</v>
      </c>
      <c r="G10" s="8" t="str">
        <f>SUMIFS('Report'!$G$4:$G$10000,'Report'!$A$4:$A$10000, "&gt;=" &amp; A10,'Report'!$A$4:$A$10000, "&lt;=" &amp; B10,'Report'!$C$4:$C$10000, "&lt;=" &amp; C10,'Report'!$D$4:$D$10000, "&lt;=" &amp; D10)</f>
        <v>0</v>
      </c>
      <c r="H10" s="9">
        <v>100000</v>
      </c>
      <c r="I10" s="9" t="str">
        <f>IF(F10=0, 0, H10/F10)</f>
        <v>0</v>
      </c>
      <c r="J10" s="9" t="str">
        <f>IF(G10=0, 0, H10/G10)</f>
        <v>0</v>
      </c>
    </row>
    <row r="11" spans="1:10">
      <c r="A11" s="10">
        <v>45992</v>
      </c>
      <c r="B11" s="10">
        <v>46006</v>
      </c>
      <c r="C11" s="2" t="s">
        <v>20</v>
      </c>
      <c r="D11" s="2" t="s">
        <v>21</v>
      </c>
      <c r="E11" s="2" t="s">
        <v>22</v>
      </c>
      <c r="F11" s="11" t="str">
        <f>SUMIFS('Report'!$F$4:$F$10000,'Report'!$A$4:$A$10000, "&gt;=" &amp; A11,'Report'!$A$4:$A$10000, "&lt;=" &amp; B11,'Report'!$C$4:$C$10000, "&lt;=" &amp; C11,'Report'!$D$4:$D$10000, "&lt;=" &amp; D11)</f>
        <v>0</v>
      </c>
      <c r="G11" s="8" t="str">
        <f>SUMIFS('Report'!$G$4:$G$10000,'Report'!$A$4:$A$10000, "&gt;=" &amp; A11,'Report'!$A$4:$A$10000, "&lt;=" &amp; B11,'Report'!$C$4:$C$10000, "&lt;=" &amp; C11,'Report'!$D$4:$D$10000, "&lt;=" &amp; D11)</f>
        <v>0</v>
      </c>
      <c r="H11" s="9">
        <v>224505</v>
      </c>
      <c r="I11" s="9" t="str">
        <f>IF(F11=0, 0, H11/F11)</f>
        <v>0</v>
      </c>
      <c r="J11" s="9" t="str">
        <f>IF(G11=0, 0, H11/G11)</f>
        <v>0</v>
      </c>
    </row>
    <row r="12" spans="1:10">
      <c r="A12" s="10">
        <v>46007</v>
      </c>
      <c r="B12" s="10">
        <v>46022</v>
      </c>
      <c r="C12" s="2" t="s">
        <v>20</v>
      </c>
      <c r="D12" s="2" t="s">
        <v>21</v>
      </c>
      <c r="E12" s="2" t="s">
        <v>22</v>
      </c>
      <c r="F12" s="11" t="str">
        <f>SUMIFS('Report'!$F$4:$F$10000,'Report'!$A$4:$A$10000, "&gt;=" &amp; A12,'Report'!$A$4:$A$10000, "&lt;=" &amp; B12,'Report'!$C$4:$C$10000, "&lt;=" &amp; C12,'Report'!$D$4:$D$10000, "&lt;=" &amp; D12)</f>
        <v>0</v>
      </c>
      <c r="G12" s="8" t="str">
        <f>SUMIFS('Report'!$G$4:$G$10000,'Report'!$A$4:$A$10000, "&gt;=" &amp; A12,'Report'!$A$4:$A$10000, "&lt;=" &amp; B12,'Report'!$C$4:$C$10000, "&lt;=" &amp; C12,'Report'!$D$4:$D$10000, "&lt;=" &amp; D12)</f>
        <v>0</v>
      </c>
      <c r="H12" s="9">
        <v>100000</v>
      </c>
      <c r="I12" s="9" t="str">
        <f>IF(F12=0, 0, H12/F12)</f>
        <v>0</v>
      </c>
      <c r="J12" s="9" t="str">
        <f>IF(G12=0, 0, H12/G12)</f>
        <v>0</v>
      </c>
    </row>
    <row r="13" spans="1:10">
      <c r="A13" s="10">
        <v>46023</v>
      </c>
      <c r="B13" s="10">
        <v>46037</v>
      </c>
      <c r="C13" s="2" t="s">
        <v>20</v>
      </c>
      <c r="D13" s="2" t="s">
        <v>21</v>
      </c>
      <c r="E13" s="2" t="s">
        <v>22</v>
      </c>
      <c r="F13" s="11" t="str">
        <f>SUMIFS('Report'!$F$4:$F$10000,'Report'!$A$4:$A$10000, "&gt;=" &amp; A13,'Report'!$A$4:$A$10000, "&lt;=" &amp; B13,'Report'!$C$4:$C$10000, "&lt;=" &amp; C13,'Report'!$D$4:$D$10000, "&lt;=" &amp; D13)</f>
        <v>0</v>
      </c>
      <c r="G13" s="8" t="str">
        <f>SUMIFS('Report'!$G$4:$G$10000,'Report'!$A$4:$A$10000, "&gt;=" &amp; A13,'Report'!$A$4:$A$10000, "&lt;=" &amp; B13,'Report'!$C$4:$C$10000, "&lt;=" &amp; C13,'Report'!$D$4:$D$10000, "&lt;=" &amp; D13)</f>
        <v>0</v>
      </c>
      <c r="H13" s="9">
        <v>23600000</v>
      </c>
      <c r="I13" s="9" t="str">
        <f>IF(F13=0, 0, H13/F13)</f>
        <v>0</v>
      </c>
      <c r="J13" s="9" t="str">
        <f>IF(G13=0, 0, H13/G13)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J1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M30"/>
  <sheetViews>
    <sheetView tabSelected="0" workbookViewId="0" zoomScale="95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0" customWidth="true" style="0"/>
    <col min="5" max="5" width="20" customWidth="true" style="0"/>
    <col min="6" max="6" width="18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</cols>
  <sheetData>
    <row r="4" spans="1:13">
      <c r="A4" s="1" t="s">
        <v>58</v>
      </c>
      <c r="B4" s="1" t="s">
        <v>59</v>
      </c>
      <c r="C4" s="1" t="s">
        <v>2</v>
      </c>
      <c r="D4" s="1" t="s">
        <v>3</v>
      </c>
      <c r="E4" s="1" t="s">
        <v>4</v>
      </c>
      <c r="F4" s="1" t="s">
        <v>68</v>
      </c>
      <c r="G4" s="1" t="s">
        <v>5</v>
      </c>
      <c r="H4" s="1" t="s">
        <v>6</v>
      </c>
      <c r="I4" s="1" t="s">
        <v>69</v>
      </c>
      <c r="J4" s="1" t="s">
        <v>70</v>
      </c>
      <c r="K4" s="1" t="s">
        <v>63</v>
      </c>
      <c r="L4" s="1" t="s">
        <v>64</v>
      </c>
      <c r="M4" s="1" t="s">
        <v>71</v>
      </c>
    </row>
    <row r="5" spans="1:13">
      <c r="A5" s="10">
        <v>45901</v>
      </c>
      <c r="B5" s="10" t="str">
        <f>IF(A6="", A5, A6-1)</f>
        <v>0</v>
      </c>
      <c r="C5" s="2" t="s">
        <v>20</v>
      </c>
      <c r="D5" s="2" t="s">
        <v>21</v>
      </c>
      <c r="E5" s="2" t="s">
        <v>22</v>
      </c>
      <c r="F5" s="12">
        <v>100</v>
      </c>
      <c r="G5" s="7" t="str">
        <f>SUMIFS('Report'!$F$4:$F$10000,'Report'!$A$4:$A$10000, "&gt;=" &amp; A5,'Report'!$A$4:$A$10000, "&lt;=" &amp; B5,'Report'!$C$4:$C$10000, "&lt;=" &amp; C5,'Report'!$D$4:$D$10000, "&lt;=" &amp; D5)</f>
        <v>0</v>
      </c>
      <c r="H5" s="8" t="str">
        <f>SUMIFS('Report'!$G$4:$G$10000,'Report'!$A$4:$A$10000, "&gt;=" &amp; A5,'Report'!$A$4:$A$10000, "&lt;=" &amp; B5,'Report'!$C$4:$C$10000, "&lt;=" &amp; C5,'Report'!$D$4:$D$10000, "&lt;=" &amp; D5)</f>
        <v>0</v>
      </c>
      <c r="I5" s="9">
        <v>100000</v>
      </c>
      <c r="J5" s="7" t="str">
        <f>COUNTIFS('Report'!$A$4:$A$10000, "&gt;=" &amp; A5,'Report'!$A$4:$A$10000, "&lt;=" &amp; B5,'Report'!$C$4:$C$10000, "&lt;=" &amp; C5,'Report'!$D$4:$D$10000, "&lt;=" &amp; D5)</f>
        <v>0</v>
      </c>
      <c r="K5" s="9" t="str">
        <f>IF(G5=0, 0, I5/G5)</f>
        <v>0</v>
      </c>
      <c r="L5" s="9" t="str">
        <f>IF(G5=0, 0, I5/H5)</f>
        <v>0</v>
      </c>
      <c r="M5" s="9" t="str">
        <f>IF(G5=0, 0, I5/J5)</f>
        <v>0</v>
      </c>
    </row>
    <row r="6" spans="1:13">
      <c r="A6" s="10">
        <v>45906</v>
      </c>
      <c r="B6" s="10" t="str">
        <f>IF(A7="", A6, A7-1)</f>
        <v>0</v>
      </c>
      <c r="C6" s="2" t="s">
        <v>20</v>
      </c>
      <c r="D6" s="2" t="s">
        <v>21</v>
      </c>
      <c r="E6" s="2" t="s">
        <v>22</v>
      </c>
      <c r="F6" s="12">
        <v>100</v>
      </c>
      <c r="G6" s="7" t="str">
        <f>SUMIFS('Report'!$F$4:$F$10000,'Report'!$A$4:$A$10000, "&gt;=" &amp; A6,'Report'!$A$4:$A$10000, "&lt;=" &amp; B6,'Report'!$C$4:$C$10000, "&lt;=" &amp; C6,'Report'!$D$4:$D$10000, "&lt;=" &amp; D6)</f>
        <v>0</v>
      </c>
      <c r="H6" s="8" t="str">
        <f>SUMIFS('Report'!$G$4:$G$10000,'Report'!$A$4:$A$10000, "&gt;=" &amp; A6,'Report'!$A$4:$A$10000, "&lt;=" &amp; B6,'Report'!$C$4:$C$10000, "&lt;=" &amp; C6,'Report'!$D$4:$D$10000, "&lt;=" &amp; D6)</f>
        <v>0</v>
      </c>
      <c r="I6" s="9">
        <v>100000</v>
      </c>
      <c r="J6" s="7" t="str">
        <f>COUNTIFS('Report'!$A$4:$A$10000, "&gt;=" &amp; A6,'Report'!$A$4:$A$10000, "&lt;=" &amp; B6,'Report'!$C$4:$C$10000, "&lt;=" &amp; C6,'Report'!$D$4:$D$10000, "&lt;=" &amp; D6)</f>
        <v>0</v>
      </c>
      <c r="K6" s="9" t="str">
        <f>IF(G6=0, 0, I6/G6)</f>
        <v>0</v>
      </c>
      <c r="L6" s="9" t="str">
        <f>IF(G6=0, 0, I6/H6)</f>
        <v>0</v>
      </c>
      <c r="M6" s="9" t="str">
        <f>IF(G6=0, 0, I6/J6)</f>
        <v>0</v>
      </c>
    </row>
    <row r="7" spans="1:13">
      <c r="A7" s="10">
        <v>45911</v>
      </c>
      <c r="B7" s="10" t="str">
        <f>IF(A8="", A7, A8-1)</f>
        <v>0</v>
      </c>
      <c r="C7" s="2" t="s">
        <v>20</v>
      </c>
      <c r="D7" s="2" t="s">
        <v>21</v>
      </c>
      <c r="E7" s="2" t="s">
        <v>22</v>
      </c>
      <c r="F7" s="12">
        <v>100</v>
      </c>
      <c r="G7" s="7" t="str">
        <f>SUMIFS('Report'!$F$4:$F$10000,'Report'!$A$4:$A$10000, "&gt;=" &amp; A7,'Report'!$A$4:$A$10000, "&lt;=" &amp; B7,'Report'!$C$4:$C$10000, "&lt;=" &amp; C7,'Report'!$D$4:$D$10000, "&lt;=" &amp; D7)</f>
        <v>0</v>
      </c>
      <c r="H7" s="8" t="str">
        <f>SUMIFS('Report'!$G$4:$G$10000,'Report'!$A$4:$A$10000, "&gt;=" &amp; A7,'Report'!$A$4:$A$10000, "&lt;=" &amp; B7,'Report'!$C$4:$C$10000, "&lt;=" &amp; C7,'Report'!$D$4:$D$10000, "&lt;=" &amp; D7)</f>
        <v>0</v>
      </c>
      <c r="I7" s="9">
        <v>100000</v>
      </c>
      <c r="J7" s="7" t="str">
        <f>COUNTIFS('Report'!$A$4:$A$10000, "&gt;=" &amp; A7,'Report'!$A$4:$A$10000, "&lt;=" &amp; B7,'Report'!$C$4:$C$10000, "&lt;=" &amp; C7,'Report'!$D$4:$D$10000, "&lt;=" &amp; D7)</f>
        <v>0</v>
      </c>
      <c r="K7" s="9" t="str">
        <f>IF(G7=0, 0, I7/G7)</f>
        <v>0</v>
      </c>
      <c r="L7" s="9" t="str">
        <f>IF(G7=0, 0, I7/H7)</f>
        <v>0</v>
      </c>
      <c r="M7" s="9" t="str">
        <f>IF(G7=0, 0, I7/J7)</f>
        <v>0</v>
      </c>
    </row>
    <row r="8" spans="1:13">
      <c r="A8" s="10">
        <v>45916</v>
      </c>
      <c r="B8" s="10" t="str">
        <f>IF(A9="", A8, A9-1)</f>
        <v>0</v>
      </c>
      <c r="C8" s="2" t="s">
        <v>20</v>
      </c>
      <c r="D8" s="2" t="s">
        <v>21</v>
      </c>
      <c r="E8" s="2" t="s">
        <v>22</v>
      </c>
      <c r="F8" s="12">
        <v>100</v>
      </c>
      <c r="G8" s="7" t="str">
        <f>SUMIFS('Report'!$F$4:$F$10000,'Report'!$A$4:$A$10000, "&gt;=" &amp; A8,'Report'!$A$4:$A$10000, "&lt;=" &amp; B8,'Report'!$C$4:$C$10000, "&lt;=" &amp; C8,'Report'!$D$4:$D$10000, "&lt;=" &amp; D8)</f>
        <v>0</v>
      </c>
      <c r="H8" s="8" t="str">
        <f>SUMIFS('Report'!$G$4:$G$10000,'Report'!$A$4:$A$10000, "&gt;=" &amp; A8,'Report'!$A$4:$A$10000, "&lt;=" &amp; B8,'Report'!$C$4:$C$10000, "&lt;=" &amp; C8,'Report'!$D$4:$D$10000, "&lt;=" &amp; D8)</f>
        <v>0</v>
      </c>
      <c r="I8" s="9">
        <v>100000</v>
      </c>
      <c r="J8" s="7" t="str">
        <f>COUNTIFS('Report'!$A$4:$A$10000, "&gt;=" &amp; A8,'Report'!$A$4:$A$10000, "&lt;=" &amp; B8,'Report'!$C$4:$C$10000, "&lt;=" &amp; C8,'Report'!$D$4:$D$10000, "&lt;=" &amp; D8)</f>
        <v>0</v>
      </c>
      <c r="K8" s="9" t="str">
        <f>IF(G8=0, 0, I8/G8)</f>
        <v>0</v>
      </c>
      <c r="L8" s="9" t="str">
        <f>IF(G8=0, 0, I8/H8)</f>
        <v>0</v>
      </c>
      <c r="M8" s="9" t="str">
        <f>IF(G8=0, 0, I8/J8)</f>
        <v>0</v>
      </c>
    </row>
    <row r="9" spans="1:13">
      <c r="A9" s="10">
        <v>45921</v>
      </c>
      <c r="B9" s="10" t="str">
        <f>IF(A10="", A9, A10-1)</f>
        <v>0</v>
      </c>
      <c r="C9" s="2" t="s">
        <v>20</v>
      </c>
      <c r="D9" s="2" t="s">
        <v>21</v>
      </c>
      <c r="E9" s="2" t="s">
        <v>22</v>
      </c>
      <c r="F9" s="12">
        <v>100</v>
      </c>
      <c r="G9" s="7" t="str">
        <f>SUMIFS('Report'!$F$4:$F$10000,'Report'!$A$4:$A$10000, "&gt;=" &amp; A9,'Report'!$A$4:$A$10000, "&lt;=" &amp; B9,'Report'!$C$4:$C$10000, "&lt;=" &amp; C9,'Report'!$D$4:$D$10000, "&lt;=" &amp; D9)</f>
        <v>0</v>
      </c>
      <c r="H9" s="8" t="str">
        <f>SUMIFS('Report'!$G$4:$G$10000,'Report'!$A$4:$A$10000, "&gt;=" &amp; A9,'Report'!$A$4:$A$10000, "&lt;=" &amp; B9,'Report'!$C$4:$C$10000, "&lt;=" &amp; C9,'Report'!$D$4:$D$10000, "&lt;=" &amp; D9)</f>
        <v>0</v>
      </c>
      <c r="I9" s="9">
        <v>100000</v>
      </c>
      <c r="J9" s="7" t="str">
        <f>COUNTIFS('Report'!$A$4:$A$10000, "&gt;=" &amp; A9,'Report'!$A$4:$A$10000, "&lt;=" &amp; B9,'Report'!$C$4:$C$10000, "&lt;=" &amp; C9,'Report'!$D$4:$D$10000, "&lt;=" &amp; D9)</f>
        <v>0</v>
      </c>
      <c r="K9" s="9" t="str">
        <f>IF(G9=0, 0, I9/G9)</f>
        <v>0</v>
      </c>
      <c r="L9" s="9" t="str">
        <f>IF(G9=0, 0, I9/H9)</f>
        <v>0</v>
      </c>
      <c r="M9" s="9" t="str">
        <f>IF(G9=0, 0, I9/J9)</f>
        <v>0</v>
      </c>
    </row>
    <row r="10" spans="1:13">
      <c r="A10" s="10">
        <v>45926</v>
      </c>
      <c r="B10" s="10" t="str">
        <f>IF(A11="", A10, A11-1)</f>
        <v>0</v>
      </c>
      <c r="C10" s="2" t="s">
        <v>20</v>
      </c>
      <c r="D10" s="2" t="s">
        <v>21</v>
      </c>
      <c r="E10" s="2" t="s">
        <v>22</v>
      </c>
      <c r="F10" s="12">
        <v>100</v>
      </c>
      <c r="G10" s="7" t="str">
        <f>SUMIFS('Report'!$F$4:$F$10000,'Report'!$A$4:$A$10000, "&gt;=" &amp; A10,'Report'!$A$4:$A$10000, "&lt;=" &amp; B10,'Report'!$C$4:$C$10000, "&lt;=" &amp; C10,'Report'!$D$4:$D$10000, "&lt;=" &amp; D10)</f>
        <v>0</v>
      </c>
      <c r="H10" s="8" t="str">
        <f>SUMIFS('Report'!$G$4:$G$10000,'Report'!$A$4:$A$10000, "&gt;=" &amp; A10,'Report'!$A$4:$A$10000, "&lt;=" &amp; B10,'Report'!$C$4:$C$10000, "&lt;=" &amp; C10,'Report'!$D$4:$D$10000, "&lt;=" &amp; D10)</f>
        <v>0</v>
      </c>
      <c r="I10" s="9">
        <v>100000</v>
      </c>
      <c r="J10" s="7" t="str">
        <f>COUNTIFS('Report'!$A$4:$A$10000, "&gt;=" &amp; A10,'Report'!$A$4:$A$10000, "&lt;=" &amp; B10,'Report'!$C$4:$C$10000, "&lt;=" &amp; C10,'Report'!$D$4:$D$10000, "&lt;=" &amp; D10)</f>
        <v>0</v>
      </c>
      <c r="K10" s="9" t="str">
        <f>IF(G10=0, 0, I10/G10)</f>
        <v>0</v>
      </c>
      <c r="L10" s="9" t="str">
        <f>IF(G10=0, 0, I10/H10)</f>
        <v>0</v>
      </c>
      <c r="M10" s="9" t="str">
        <f>IF(G10=0, 0, I10/J10)</f>
        <v>0</v>
      </c>
    </row>
    <row r="11" spans="1:13">
      <c r="A11" s="10">
        <v>45931</v>
      </c>
      <c r="B11" s="10" t="str">
        <f>IF(A12="", A11, A12-1)</f>
        <v>0</v>
      </c>
      <c r="C11" s="2" t="s">
        <v>20</v>
      </c>
      <c r="D11" s="2" t="s">
        <v>21</v>
      </c>
      <c r="E11" s="2" t="s">
        <v>22</v>
      </c>
      <c r="F11" s="12">
        <v>100</v>
      </c>
      <c r="G11" s="7" t="str">
        <f>SUMIFS('Report'!$F$4:$F$10000,'Report'!$A$4:$A$10000, "&gt;=" &amp; A11,'Report'!$A$4:$A$10000, "&lt;=" &amp; B11,'Report'!$C$4:$C$10000, "&lt;=" &amp; C11,'Report'!$D$4:$D$10000, "&lt;=" &amp; D11)</f>
        <v>0</v>
      </c>
      <c r="H11" s="8" t="str">
        <f>SUMIFS('Report'!$G$4:$G$10000,'Report'!$A$4:$A$10000, "&gt;=" &amp; A11,'Report'!$A$4:$A$10000, "&lt;=" &amp; B11,'Report'!$C$4:$C$10000, "&lt;=" &amp; C11,'Report'!$D$4:$D$10000, "&lt;=" &amp; D11)</f>
        <v>0</v>
      </c>
      <c r="I11" s="9">
        <v>100000</v>
      </c>
      <c r="J11" s="7" t="str">
        <f>COUNTIFS('Report'!$A$4:$A$10000, "&gt;=" &amp; A11,'Report'!$A$4:$A$10000, "&lt;=" &amp; B11,'Report'!$C$4:$C$10000, "&lt;=" &amp; C11,'Report'!$D$4:$D$10000, "&lt;=" &amp; D11)</f>
        <v>0</v>
      </c>
      <c r="K11" s="9" t="str">
        <f>IF(G11=0, 0, I11/G11)</f>
        <v>0</v>
      </c>
      <c r="L11" s="9" t="str">
        <f>IF(G11=0, 0, I11/H11)</f>
        <v>0</v>
      </c>
      <c r="M11" s="9" t="str">
        <f>IF(G11=0, 0, I11/J11)</f>
        <v>0</v>
      </c>
    </row>
    <row r="12" spans="1:13">
      <c r="A12" s="10">
        <v>45936</v>
      </c>
      <c r="B12" s="10" t="str">
        <f>IF(A13="", A12, A13-1)</f>
        <v>0</v>
      </c>
      <c r="C12" s="2" t="s">
        <v>20</v>
      </c>
      <c r="D12" s="2" t="s">
        <v>21</v>
      </c>
      <c r="E12" s="2" t="s">
        <v>22</v>
      </c>
      <c r="F12" s="12">
        <v>100</v>
      </c>
      <c r="G12" s="7" t="str">
        <f>SUMIFS('Report'!$F$4:$F$10000,'Report'!$A$4:$A$10000, "&gt;=" &amp; A12,'Report'!$A$4:$A$10000, "&lt;=" &amp; B12,'Report'!$C$4:$C$10000, "&lt;=" &amp; C12,'Report'!$D$4:$D$10000, "&lt;=" &amp; D12)</f>
        <v>0</v>
      </c>
      <c r="H12" s="8" t="str">
        <f>SUMIFS('Report'!$G$4:$G$10000,'Report'!$A$4:$A$10000, "&gt;=" &amp; A12,'Report'!$A$4:$A$10000, "&lt;=" &amp; B12,'Report'!$C$4:$C$10000, "&lt;=" &amp; C12,'Report'!$D$4:$D$10000, "&lt;=" &amp; D12)</f>
        <v>0</v>
      </c>
      <c r="I12" s="9">
        <v>100000</v>
      </c>
      <c r="J12" s="7" t="str">
        <f>COUNTIFS('Report'!$A$4:$A$10000, "&gt;=" &amp; A12,'Report'!$A$4:$A$10000, "&lt;=" &amp; B12,'Report'!$C$4:$C$10000, "&lt;=" &amp; C12,'Report'!$D$4:$D$10000, "&lt;=" &amp; D12)</f>
        <v>0</v>
      </c>
      <c r="K12" s="9" t="str">
        <f>IF(G12=0, 0, I12/G12)</f>
        <v>0</v>
      </c>
      <c r="L12" s="9" t="str">
        <f>IF(G12=0, 0, I12/H12)</f>
        <v>0</v>
      </c>
      <c r="M12" s="9" t="str">
        <f>IF(G12=0, 0, I12/J12)</f>
        <v>0</v>
      </c>
    </row>
    <row r="13" spans="1:13">
      <c r="A13" s="10">
        <v>45941</v>
      </c>
      <c r="B13" s="10" t="str">
        <f>IF(A14="", A13, A14-1)</f>
        <v>0</v>
      </c>
      <c r="C13" s="2" t="s">
        <v>20</v>
      </c>
      <c r="D13" s="2" t="s">
        <v>21</v>
      </c>
      <c r="E13" s="2" t="s">
        <v>22</v>
      </c>
      <c r="F13" s="12">
        <v>100</v>
      </c>
      <c r="G13" s="7" t="str">
        <f>SUMIFS('Report'!$F$4:$F$10000,'Report'!$A$4:$A$10000, "&gt;=" &amp; A13,'Report'!$A$4:$A$10000, "&lt;=" &amp; B13,'Report'!$C$4:$C$10000, "&lt;=" &amp; C13,'Report'!$D$4:$D$10000, "&lt;=" &amp; D13)</f>
        <v>0</v>
      </c>
      <c r="H13" s="8" t="str">
        <f>SUMIFS('Report'!$G$4:$G$10000,'Report'!$A$4:$A$10000, "&gt;=" &amp; A13,'Report'!$A$4:$A$10000, "&lt;=" &amp; B13,'Report'!$C$4:$C$10000, "&lt;=" &amp; C13,'Report'!$D$4:$D$10000, "&lt;=" &amp; D13)</f>
        <v>0</v>
      </c>
      <c r="I13" s="9">
        <v>100000</v>
      </c>
      <c r="J13" s="7" t="str">
        <f>COUNTIFS('Report'!$A$4:$A$10000, "&gt;=" &amp; A13,'Report'!$A$4:$A$10000, "&lt;=" &amp; B13,'Report'!$C$4:$C$10000, "&lt;=" &amp; C13,'Report'!$D$4:$D$10000, "&lt;=" &amp; D13)</f>
        <v>0</v>
      </c>
      <c r="K13" s="9" t="str">
        <f>IF(G13=0, 0, I13/G13)</f>
        <v>0</v>
      </c>
      <c r="L13" s="9" t="str">
        <f>IF(G13=0, 0, I13/H13)</f>
        <v>0</v>
      </c>
      <c r="M13" s="9" t="str">
        <f>IF(G13=0, 0, I13/J13)</f>
        <v>0</v>
      </c>
    </row>
    <row r="14" spans="1:13">
      <c r="A14" s="10">
        <v>45946</v>
      </c>
      <c r="B14" s="10" t="str">
        <f>IF(A15="", A14, A15-1)</f>
        <v>0</v>
      </c>
      <c r="C14" s="2" t="s">
        <v>20</v>
      </c>
      <c r="D14" s="2" t="s">
        <v>21</v>
      </c>
      <c r="E14" s="2" t="s">
        <v>22</v>
      </c>
      <c r="F14" s="12">
        <v>100</v>
      </c>
      <c r="G14" s="7" t="str">
        <f>SUMIFS('Report'!$F$4:$F$10000,'Report'!$A$4:$A$10000, "&gt;=" &amp; A14,'Report'!$A$4:$A$10000, "&lt;=" &amp; B14,'Report'!$C$4:$C$10000, "&lt;=" &amp; C14,'Report'!$D$4:$D$10000, "&lt;=" &amp; D14)</f>
        <v>0</v>
      </c>
      <c r="H14" s="8" t="str">
        <f>SUMIFS('Report'!$G$4:$G$10000,'Report'!$A$4:$A$10000, "&gt;=" &amp; A14,'Report'!$A$4:$A$10000, "&lt;=" &amp; B14,'Report'!$C$4:$C$10000, "&lt;=" &amp; C14,'Report'!$D$4:$D$10000, "&lt;=" &amp; D14)</f>
        <v>0</v>
      </c>
      <c r="I14" s="9">
        <v>100000</v>
      </c>
      <c r="J14" s="7" t="str">
        <f>COUNTIFS('Report'!$A$4:$A$10000, "&gt;=" &amp; A14,'Report'!$A$4:$A$10000, "&lt;=" &amp; B14,'Report'!$C$4:$C$10000, "&lt;=" &amp; C14,'Report'!$D$4:$D$10000, "&lt;=" &amp; D14)</f>
        <v>0</v>
      </c>
      <c r="K14" s="9" t="str">
        <f>IF(G14=0, 0, I14/G14)</f>
        <v>0</v>
      </c>
      <c r="L14" s="9" t="str">
        <f>IF(G14=0, 0, I14/H14)</f>
        <v>0</v>
      </c>
      <c r="M14" s="9" t="str">
        <f>IF(G14=0, 0, I14/J14)</f>
        <v>0</v>
      </c>
    </row>
    <row r="15" spans="1:13">
      <c r="A15" s="10">
        <v>45951</v>
      </c>
      <c r="B15" s="10" t="str">
        <f>IF(A16="", A15, A16-1)</f>
        <v>0</v>
      </c>
      <c r="C15" s="2" t="s">
        <v>20</v>
      </c>
      <c r="D15" s="2" t="s">
        <v>21</v>
      </c>
      <c r="E15" s="2" t="s">
        <v>22</v>
      </c>
      <c r="F15" s="12">
        <v>100</v>
      </c>
      <c r="G15" s="7" t="str">
        <f>SUMIFS('Report'!$F$4:$F$10000,'Report'!$A$4:$A$10000, "&gt;=" &amp; A15,'Report'!$A$4:$A$10000, "&lt;=" &amp; B15,'Report'!$C$4:$C$10000, "&lt;=" &amp; C15,'Report'!$D$4:$D$10000, "&lt;=" &amp; D15)</f>
        <v>0</v>
      </c>
      <c r="H15" s="8" t="str">
        <f>SUMIFS('Report'!$G$4:$G$10000,'Report'!$A$4:$A$10000, "&gt;=" &amp; A15,'Report'!$A$4:$A$10000, "&lt;=" &amp; B15,'Report'!$C$4:$C$10000, "&lt;=" &amp; C15,'Report'!$D$4:$D$10000, "&lt;=" &amp; D15)</f>
        <v>0</v>
      </c>
      <c r="I15" s="9">
        <v>100000</v>
      </c>
      <c r="J15" s="7" t="str">
        <f>COUNTIFS('Report'!$A$4:$A$10000, "&gt;=" &amp; A15,'Report'!$A$4:$A$10000, "&lt;=" &amp; B15,'Report'!$C$4:$C$10000, "&lt;=" &amp; C15,'Report'!$D$4:$D$10000, "&lt;=" &amp; D15)</f>
        <v>0</v>
      </c>
      <c r="K15" s="9" t="str">
        <f>IF(G15=0, 0, I15/G15)</f>
        <v>0</v>
      </c>
      <c r="L15" s="9" t="str">
        <f>IF(G15=0, 0, I15/H15)</f>
        <v>0</v>
      </c>
      <c r="M15" s="9" t="str">
        <f>IF(G15=0, 0, I15/J15)</f>
        <v>0</v>
      </c>
    </row>
    <row r="16" spans="1:13">
      <c r="A16" s="10">
        <v>45956</v>
      </c>
      <c r="B16" s="10" t="str">
        <f>IF(A17="", A16, A17-1)</f>
        <v>0</v>
      </c>
      <c r="C16" s="2" t="s">
        <v>20</v>
      </c>
      <c r="D16" s="2" t="s">
        <v>21</v>
      </c>
      <c r="E16" s="2" t="s">
        <v>22</v>
      </c>
      <c r="F16" s="12">
        <v>100</v>
      </c>
      <c r="G16" s="7" t="str">
        <f>SUMIFS('Report'!$F$4:$F$10000,'Report'!$A$4:$A$10000, "&gt;=" &amp; A16,'Report'!$A$4:$A$10000, "&lt;=" &amp; B16,'Report'!$C$4:$C$10000, "&lt;=" &amp; C16,'Report'!$D$4:$D$10000, "&lt;=" &amp; D16)</f>
        <v>0</v>
      </c>
      <c r="H16" s="8" t="str">
        <f>SUMIFS('Report'!$G$4:$G$10000,'Report'!$A$4:$A$10000, "&gt;=" &amp; A16,'Report'!$A$4:$A$10000, "&lt;=" &amp; B16,'Report'!$C$4:$C$10000, "&lt;=" &amp; C16,'Report'!$D$4:$D$10000, "&lt;=" &amp; D16)</f>
        <v>0</v>
      </c>
      <c r="I16" s="9">
        <v>100000</v>
      </c>
      <c r="J16" s="7" t="str">
        <f>COUNTIFS('Report'!$A$4:$A$10000, "&gt;=" &amp; A16,'Report'!$A$4:$A$10000, "&lt;=" &amp; B16,'Report'!$C$4:$C$10000, "&lt;=" &amp; C16,'Report'!$D$4:$D$10000, "&lt;=" &amp; D16)</f>
        <v>0</v>
      </c>
      <c r="K16" s="9" t="str">
        <f>IF(G16=0, 0, I16/G16)</f>
        <v>0</v>
      </c>
      <c r="L16" s="9" t="str">
        <f>IF(G16=0, 0, I16/H16)</f>
        <v>0</v>
      </c>
      <c r="M16" s="9" t="str">
        <f>IF(G16=0, 0, I16/J16)</f>
        <v>0</v>
      </c>
    </row>
    <row r="17" spans="1:13">
      <c r="A17" s="10">
        <v>45961</v>
      </c>
      <c r="B17" s="10" t="str">
        <f>IF(A18="", A17, A18-1)</f>
        <v>0</v>
      </c>
      <c r="C17" s="2" t="s">
        <v>20</v>
      </c>
      <c r="D17" s="2" t="s">
        <v>21</v>
      </c>
      <c r="E17" s="2" t="s">
        <v>22</v>
      </c>
      <c r="F17" s="12">
        <v>100</v>
      </c>
      <c r="G17" s="7" t="str">
        <f>SUMIFS('Report'!$F$4:$F$10000,'Report'!$A$4:$A$10000, "&gt;=" &amp; A17,'Report'!$A$4:$A$10000, "&lt;=" &amp; B17,'Report'!$C$4:$C$10000, "&lt;=" &amp; C17,'Report'!$D$4:$D$10000, "&lt;=" &amp; D17)</f>
        <v>0</v>
      </c>
      <c r="H17" s="8" t="str">
        <f>SUMIFS('Report'!$G$4:$G$10000,'Report'!$A$4:$A$10000, "&gt;=" &amp; A17,'Report'!$A$4:$A$10000, "&lt;=" &amp; B17,'Report'!$C$4:$C$10000, "&lt;=" &amp; C17,'Report'!$D$4:$D$10000, "&lt;=" &amp; D17)</f>
        <v>0</v>
      </c>
      <c r="I17" s="9">
        <v>100000</v>
      </c>
      <c r="J17" s="7" t="str">
        <f>COUNTIFS('Report'!$A$4:$A$10000, "&gt;=" &amp; A17,'Report'!$A$4:$A$10000, "&lt;=" &amp; B17,'Report'!$C$4:$C$10000, "&lt;=" &amp; C17,'Report'!$D$4:$D$10000, "&lt;=" &amp; D17)</f>
        <v>0</v>
      </c>
      <c r="K17" s="9" t="str">
        <f>IF(G17=0, 0, I17/G17)</f>
        <v>0</v>
      </c>
      <c r="L17" s="9" t="str">
        <f>IF(G17=0, 0, I17/H17)</f>
        <v>0</v>
      </c>
      <c r="M17" s="9" t="str">
        <f>IF(G17=0, 0, I17/J17)</f>
        <v>0</v>
      </c>
    </row>
    <row r="18" spans="1:13">
      <c r="A18" s="10">
        <v>45966</v>
      </c>
      <c r="B18" s="10" t="str">
        <f>IF(A19="", A18, A19-1)</f>
        <v>0</v>
      </c>
      <c r="C18" s="2" t="s">
        <v>20</v>
      </c>
      <c r="D18" s="2" t="s">
        <v>21</v>
      </c>
      <c r="E18" s="2" t="s">
        <v>22</v>
      </c>
      <c r="F18" s="12">
        <v>100</v>
      </c>
      <c r="G18" s="7" t="str">
        <f>SUMIFS('Report'!$F$4:$F$10000,'Report'!$A$4:$A$10000, "&gt;=" &amp; A18,'Report'!$A$4:$A$10000, "&lt;=" &amp; B18,'Report'!$C$4:$C$10000, "&lt;=" &amp; C18,'Report'!$D$4:$D$10000, "&lt;=" &amp; D18)</f>
        <v>0</v>
      </c>
      <c r="H18" s="8" t="str">
        <f>SUMIFS('Report'!$G$4:$G$10000,'Report'!$A$4:$A$10000, "&gt;=" &amp; A18,'Report'!$A$4:$A$10000, "&lt;=" &amp; B18,'Report'!$C$4:$C$10000, "&lt;=" &amp; C18,'Report'!$D$4:$D$10000, "&lt;=" &amp; D18)</f>
        <v>0</v>
      </c>
      <c r="I18" s="9">
        <v>100000</v>
      </c>
      <c r="J18" s="7" t="str">
        <f>COUNTIFS('Report'!$A$4:$A$10000, "&gt;=" &amp; A18,'Report'!$A$4:$A$10000, "&lt;=" &amp; B18,'Report'!$C$4:$C$10000, "&lt;=" &amp; C18,'Report'!$D$4:$D$10000, "&lt;=" &amp; D18)</f>
        <v>0</v>
      </c>
      <c r="K18" s="9" t="str">
        <f>IF(G18=0, 0, I18/G18)</f>
        <v>0</v>
      </c>
      <c r="L18" s="9" t="str">
        <f>IF(G18=0, 0, I18/H18)</f>
        <v>0</v>
      </c>
      <c r="M18" s="9" t="str">
        <f>IF(G18=0, 0, I18/J18)</f>
        <v>0</v>
      </c>
    </row>
    <row r="19" spans="1:13">
      <c r="A19" s="10">
        <v>45971</v>
      </c>
      <c r="B19" s="10" t="str">
        <f>IF(A20="", A19, A20-1)</f>
        <v>0</v>
      </c>
      <c r="C19" s="2" t="s">
        <v>20</v>
      </c>
      <c r="D19" s="2" t="s">
        <v>21</v>
      </c>
      <c r="E19" s="2" t="s">
        <v>22</v>
      </c>
      <c r="F19" s="12">
        <v>100</v>
      </c>
      <c r="G19" s="7" t="str">
        <f>SUMIFS('Report'!$F$4:$F$10000,'Report'!$A$4:$A$10000, "&gt;=" &amp; A19,'Report'!$A$4:$A$10000, "&lt;=" &amp; B19,'Report'!$C$4:$C$10000, "&lt;=" &amp; C19,'Report'!$D$4:$D$10000, "&lt;=" &amp; D19)</f>
        <v>0</v>
      </c>
      <c r="H19" s="8" t="str">
        <f>SUMIFS('Report'!$G$4:$G$10000,'Report'!$A$4:$A$10000, "&gt;=" &amp; A19,'Report'!$A$4:$A$10000, "&lt;=" &amp; B19,'Report'!$C$4:$C$10000, "&lt;=" &amp; C19,'Report'!$D$4:$D$10000, "&lt;=" &amp; D19)</f>
        <v>0</v>
      </c>
      <c r="I19" s="9">
        <v>100000</v>
      </c>
      <c r="J19" s="7" t="str">
        <f>COUNTIFS('Report'!$A$4:$A$10000, "&gt;=" &amp; A19,'Report'!$A$4:$A$10000, "&lt;=" &amp; B19,'Report'!$C$4:$C$10000, "&lt;=" &amp; C19,'Report'!$D$4:$D$10000, "&lt;=" &amp; D19)</f>
        <v>0</v>
      </c>
      <c r="K19" s="9" t="str">
        <f>IF(G19=0, 0, I19/G19)</f>
        <v>0</v>
      </c>
      <c r="L19" s="9" t="str">
        <f>IF(G19=0, 0, I19/H19)</f>
        <v>0</v>
      </c>
      <c r="M19" s="9" t="str">
        <f>IF(G19=0, 0, I19/J19)</f>
        <v>0</v>
      </c>
    </row>
    <row r="20" spans="1:13">
      <c r="A20" s="10">
        <v>45976</v>
      </c>
      <c r="B20" s="10" t="str">
        <f>IF(A21="", A20, A21-1)</f>
        <v>0</v>
      </c>
      <c r="C20" s="2" t="s">
        <v>20</v>
      </c>
      <c r="D20" s="2" t="s">
        <v>21</v>
      </c>
      <c r="E20" s="2" t="s">
        <v>22</v>
      </c>
      <c r="F20" s="12">
        <v>100</v>
      </c>
      <c r="G20" s="7" t="str">
        <f>SUMIFS('Report'!$F$4:$F$10000,'Report'!$A$4:$A$10000, "&gt;=" &amp; A20,'Report'!$A$4:$A$10000, "&lt;=" &amp; B20,'Report'!$C$4:$C$10000, "&lt;=" &amp; C20,'Report'!$D$4:$D$10000, "&lt;=" &amp; D20)</f>
        <v>0</v>
      </c>
      <c r="H20" s="8" t="str">
        <f>SUMIFS('Report'!$G$4:$G$10000,'Report'!$A$4:$A$10000, "&gt;=" &amp; A20,'Report'!$A$4:$A$10000, "&lt;=" &amp; B20,'Report'!$C$4:$C$10000, "&lt;=" &amp; C20,'Report'!$D$4:$D$10000, "&lt;=" &amp; D20)</f>
        <v>0</v>
      </c>
      <c r="I20" s="9">
        <v>100000</v>
      </c>
      <c r="J20" s="7" t="str">
        <f>COUNTIFS('Report'!$A$4:$A$10000, "&gt;=" &amp; A20,'Report'!$A$4:$A$10000, "&lt;=" &amp; B20,'Report'!$C$4:$C$10000, "&lt;=" &amp; C20,'Report'!$D$4:$D$10000, "&lt;=" &amp; D20)</f>
        <v>0</v>
      </c>
      <c r="K20" s="9" t="str">
        <f>IF(G20=0, 0, I20/G20)</f>
        <v>0</v>
      </c>
      <c r="L20" s="9" t="str">
        <f>IF(G20=0, 0, I20/H20)</f>
        <v>0</v>
      </c>
      <c r="M20" s="9" t="str">
        <f>IF(G20=0, 0, I20/J20)</f>
        <v>0</v>
      </c>
    </row>
    <row r="21" spans="1:13">
      <c r="A21" s="10">
        <v>45981</v>
      </c>
      <c r="B21" s="10" t="str">
        <f>IF(A22="", A21, A22-1)</f>
        <v>0</v>
      </c>
      <c r="C21" s="2" t="s">
        <v>20</v>
      </c>
      <c r="D21" s="2" t="s">
        <v>21</v>
      </c>
      <c r="E21" s="2" t="s">
        <v>22</v>
      </c>
      <c r="F21" s="12">
        <v>100</v>
      </c>
      <c r="G21" s="7" t="str">
        <f>SUMIFS('Report'!$F$4:$F$10000,'Report'!$A$4:$A$10000, "&gt;=" &amp; A21,'Report'!$A$4:$A$10000, "&lt;=" &amp; B21,'Report'!$C$4:$C$10000, "&lt;=" &amp; C21,'Report'!$D$4:$D$10000, "&lt;=" &amp; D21)</f>
        <v>0</v>
      </c>
      <c r="H21" s="8" t="str">
        <f>SUMIFS('Report'!$G$4:$G$10000,'Report'!$A$4:$A$10000, "&gt;=" &amp; A21,'Report'!$A$4:$A$10000, "&lt;=" &amp; B21,'Report'!$C$4:$C$10000, "&lt;=" &amp; C21,'Report'!$D$4:$D$10000, "&lt;=" &amp; D21)</f>
        <v>0</v>
      </c>
      <c r="I21" s="9">
        <v>100000</v>
      </c>
      <c r="J21" s="7" t="str">
        <f>COUNTIFS('Report'!$A$4:$A$10000, "&gt;=" &amp; A21,'Report'!$A$4:$A$10000, "&lt;=" &amp; B21,'Report'!$C$4:$C$10000, "&lt;=" &amp; C21,'Report'!$D$4:$D$10000, "&lt;=" &amp; D21)</f>
        <v>0</v>
      </c>
      <c r="K21" s="9" t="str">
        <f>IF(G21=0, 0, I21/G21)</f>
        <v>0</v>
      </c>
      <c r="L21" s="9" t="str">
        <f>IF(G21=0, 0, I21/H21)</f>
        <v>0</v>
      </c>
      <c r="M21" s="9" t="str">
        <f>IF(G21=0, 0, I21/J21)</f>
        <v>0</v>
      </c>
    </row>
    <row r="22" spans="1:13">
      <c r="A22" s="10">
        <v>45986</v>
      </c>
      <c r="B22" s="10" t="str">
        <f>IF(A23="", A22, A23-1)</f>
        <v>0</v>
      </c>
      <c r="C22" s="2" t="s">
        <v>20</v>
      </c>
      <c r="D22" s="2" t="s">
        <v>21</v>
      </c>
      <c r="E22" s="2" t="s">
        <v>22</v>
      </c>
      <c r="F22" s="12">
        <v>100</v>
      </c>
      <c r="G22" s="7" t="str">
        <f>SUMIFS('Report'!$F$4:$F$10000,'Report'!$A$4:$A$10000, "&gt;=" &amp; A22,'Report'!$A$4:$A$10000, "&lt;=" &amp; B22,'Report'!$C$4:$C$10000, "&lt;=" &amp; C22,'Report'!$D$4:$D$10000, "&lt;=" &amp; D22)</f>
        <v>0</v>
      </c>
      <c r="H22" s="8" t="str">
        <f>SUMIFS('Report'!$G$4:$G$10000,'Report'!$A$4:$A$10000, "&gt;=" &amp; A22,'Report'!$A$4:$A$10000, "&lt;=" &amp; B22,'Report'!$C$4:$C$10000, "&lt;=" &amp; C22,'Report'!$D$4:$D$10000, "&lt;=" &amp; D22)</f>
        <v>0</v>
      </c>
      <c r="I22" s="9">
        <v>100000</v>
      </c>
      <c r="J22" s="7" t="str">
        <f>COUNTIFS('Report'!$A$4:$A$10000, "&gt;=" &amp; A22,'Report'!$A$4:$A$10000, "&lt;=" &amp; B22,'Report'!$C$4:$C$10000, "&lt;=" &amp; C22,'Report'!$D$4:$D$10000, "&lt;=" &amp; D22)</f>
        <v>0</v>
      </c>
      <c r="K22" s="9" t="str">
        <f>IF(G22=0, 0, I22/G22)</f>
        <v>0</v>
      </c>
      <c r="L22" s="9" t="str">
        <f>IF(G22=0, 0, I22/H22)</f>
        <v>0</v>
      </c>
      <c r="M22" s="9" t="str">
        <f>IF(G22=0, 0, I22/J22)</f>
        <v>0</v>
      </c>
    </row>
    <row r="23" spans="1:13">
      <c r="A23" s="10">
        <v>45991</v>
      </c>
      <c r="B23" s="10" t="str">
        <f>IF(A24="", A23, A24-1)</f>
        <v>0</v>
      </c>
      <c r="C23" s="2" t="s">
        <v>20</v>
      </c>
      <c r="D23" s="2" t="s">
        <v>21</v>
      </c>
      <c r="E23" s="2" t="s">
        <v>22</v>
      </c>
      <c r="F23" s="12">
        <v>100</v>
      </c>
      <c r="G23" s="7" t="str">
        <f>SUMIFS('Report'!$F$4:$F$10000,'Report'!$A$4:$A$10000, "&gt;=" &amp; A23,'Report'!$A$4:$A$10000, "&lt;=" &amp; B23,'Report'!$C$4:$C$10000, "&lt;=" &amp; C23,'Report'!$D$4:$D$10000, "&lt;=" &amp; D23)</f>
        <v>0</v>
      </c>
      <c r="H23" s="8" t="str">
        <f>SUMIFS('Report'!$G$4:$G$10000,'Report'!$A$4:$A$10000, "&gt;=" &amp; A23,'Report'!$A$4:$A$10000, "&lt;=" &amp; B23,'Report'!$C$4:$C$10000, "&lt;=" &amp; C23,'Report'!$D$4:$D$10000, "&lt;=" &amp; D23)</f>
        <v>0</v>
      </c>
      <c r="I23" s="9">
        <v>100000</v>
      </c>
      <c r="J23" s="7" t="str">
        <f>COUNTIFS('Report'!$A$4:$A$10000, "&gt;=" &amp; A23,'Report'!$A$4:$A$10000, "&lt;=" &amp; B23,'Report'!$C$4:$C$10000, "&lt;=" &amp; C23,'Report'!$D$4:$D$10000, "&lt;=" &amp; D23)</f>
        <v>0</v>
      </c>
      <c r="K23" s="9" t="str">
        <f>IF(G23=0, 0, I23/G23)</f>
        <v>0</v>
      </c>
      <c r="L23" s="9" t="str">
        <f>IF(G23=0, 0, I23/H23)</f>
        <v>0</v>
      </c>
      <c r="M23" s="9" t="str">
        <f>IF(G23=0, 0, I23/J23)</f>
        <v>0</v>
      </c>
    </row>
    <row r="24" spans="1:13">
      <c r="A24" s="10">
        <v>45996</v>
      </c>
      <c r="B24" s="10" t="str">
        <f>IF(A25="", A24, A25-1)</f>
        <v>0</v>
      </c>
      <c r="C24" s="2" t="s">
        <v>20</v>
      </c>
      <c r="D24" s="2" t="s">
        <v>21</v>
      </c>
      <c r="E24" s="2" t="s">
        <v>22</v>
      </c>
      <c r="F24" s="12">
        <v>100</v>
      </c>
      <c r="G24" s="7" t="str">
        <f>SUMIFS('Report'!$F$4:$F$10000,'Report'!$A$4:$A$10000, "&gt;=" &amp; A24,'Report'!$A$4:$A$10000, "&lt;=" &amp; B24,'Report'!$C$4:$C$10000, "&lt;=" &amp; C24,'Report'!$D$4:$D$10000, "&lt;=" &amp; D24)</f>
        <v>0</v>
      </c>
      <c r="H24" s="8" t="str">
        <f>SUMIFS('Report'!$G$4:$G$10000,'Report'!$A$4:$A$10000, "&gt;=" &amp; A24,'Report'!$A$4:$A$10000, "&lt;=" &amp; B24,'Report'!$C$4:$C$10000, "&lt;=" &amp; C24,'Report'!$D$4:$D$10000, "&lt;=" &amp; D24)</f>
        <v>0</v>
      </c>
      <c r="I24" s="9">
        <v>100000</v>
      </c>
      <c r="J24" s="7" t="str">
        <f>COUNTIFS('Report'!$A$4:$A$10000, "&gt;=" &amp; A24,'Report'!$A$4:$A$10000, "&lt;=" &amp; B24,'Report'!$C$4:$C$10000, "&lt;=" &amp; C24,'Report'!$D$4:$D$10000, "&lt;=" &amp; D24)</f>
        <v>0</v>
      </c>
      <c r="K24" s="9" t="str">
        <f>IF(G24=0, 0, I24/G24)</f>
        <v>0</v>
      </c>
      <c r="L24" s="9" t="str">
        <f>IF(G24=0, 0, I24/H24)</f>
        <v>0</v>
      </c>
      <c r="M24" s="9" t="str">
        <f>IF(G24=0, 0, I24/J24)</f>
        <v>0</v>
      </c>
    </row>
    <row r="25" spans="1:13">
      <c r="A25" s="10">
        <v>46001</v>
      </c>
      <c r="B25" s="10" t="str">
        <f>IF(A26="", A25, A26-1)</f>
        <v>0</v>
      </c>
      <c r="C25" s="2" t="s">
        <v>20</v>
      </c>
      <c r="D25" s="2" t="s">
        <v>21</v>
      </c>
      <c r="E25" s="2" t="s">
        <v>22</v>
      </c>
      <c r="F25" s="12">
        <v>100</v>
      </c>
      <c r="G25" s="7" t="str">
        <f>SUMIFS('Report'!$F$4:$F$10000,'Report'!$A$4:$A$10000, "&gt;=" &amp; A25,'Report'!$A$4:$A$10000, "&lt;=" &amp; B25,'Report'!$C$4:$C$10000, "&lt;=" &amp; C25,'Report'!$D$4:$D$10000, "&lt;=" &amp; D25)</f>
        <v>0</v>
      </c>
      <c r="H25" s="8" t="str">
        <f>SUMIFS('Report'!$G$4:$G$10000,'Report'!$A$4:$A$10000, "&gt;=" &amp; A25,'Report'!$A$4:$A$10000, "&lt;=" &amp; B25,'Report'!$C$4:$C$10000, "&lt;=" &amp; C25,'Report'!$D$4:$D$10000, "&lt;=" &amp; D25)</f>
        <v>0</v>
      </c>
      <c r="I25" s="9">
        <v>100000</v>
      </c>
      <c r="J25" s="7" t="str">
        <f>COUNTIFS('Report'!$A$4:$A$10000, "&gt;=" &amp; A25,'Report'!$A$4:$A$10000, "&lt;=" &amp; B25,'Report'!$C$4:$C$10000, "&lt;=" &amp; C25,'Report'!$D$4:$D$10000, "&lt;=" &amp; D25)</f>
        <v>0</v>
      </c>
      <c r="K25" s="9" t="str">
        <f>IF(G25=0, 0, I25/G25)</f>
        <v>0</v>
      </c>
      <c r="L25" s="9" t="str">
        <f>IF(G25=0, 0, I25/H25)</f>
        <v>0</v>
      </c>
      <c r="M25" s="9" t="str">
        <f>IF(G25=0, 0, I25/J25)</f>
        <v>0</v>
      </c>
    </row>
    <row r="26" spans="1:13">
      <c r="A26" s="10">
        <v>46006</v>
      </c>
      <c r="B26" s="10" t="str">
        <f>IF(A27="", A26, A27-1)</f>
        <v>0</v>
      </c>
      <c r="C26" s="2" t="s">
        <v>20</v>
      </c>
      <c r="D26" s="2" t="s">
        <v>21</v>
      </c>
      <c r="E26" s="2" t="s">
        <v>22</v>
      </c>
      <c r="F26" s="12">
        <v>100</v>
      </c>
      <c r="G26" s="7" t="str">
        <f>SUMIFS('Report'!$F$4:$F$10000,'Report'!$A$4:$A$10000, "&gt;=" &amp; A26,'Report'!$A$4:$A$10000, "&lt;=" &amp; B26,'Report'!$C$4:$C$10000, "&lt;=" &amp; C26,'Report'!$D$4:$D$10000, "&lt;=" &amp; D26)</f>
        <v>0</v>
      </c>
      <c r="H26" s="8" t="str">
        <f>SUMIFS('Report'!$G$4:$G$10000,'Report'!$A$4:$A$10000, "&gt;=" &amp; A26,'Report'!$A$4:$A$10000, "&lt;=" &amp; B26,'Report'!$C$4:$C$10000, "&lt;=" &amp; C26,'Report'!$D$4:$D$10000, "&lt;=" &amp; D26)</f>
        <v>0</v>
      </c>
      <c r="I26" s="9">
        <v>100000</v>
      </c>
      <c r="J26" s="7" t="str">
        <f>COUNTIFS('Report'!$A$4:$A$10000, "&gt;=" &amp; A26,'Report'!$A$4:$A$10000, "&lt;=" &amp; B26,'Report'!$C$4:$C$10000, "&lt;=" &amp; C26,'Report'!$D$4:$D$10000, "&lt;=" &amp; D26)</f>
        <v>0</v>
      </c>
      <c r="K26" s="9" t="str">
        <f>IF(G26=0, 0, I26/G26)</f>
        <v>0</v>
      </c>
      <c r="L26" s="9" t="str">
        <f>IF(G26=0, 0, I26/H26)</f>
        <v>0</v>
      </c>
      <c r="M26" s="9" t="str">
        <f>IF(G26=0, 0, I26/J26)</f>
        <v>0</v>
      </c>
    </row>
    <row r="27" spans="1:13">
      <c r="A27" s="10">
        <v>46011</v>
      </c>
      <c r="B27" s="10" t="str">
        <f>IF(A28="", A27, A28-1)</f>
        <v>0</v>
      </c>
      <c r="C27" s="2" t="s">
        <v>20</v>
      </c>
      <c r="D27" s="2" t="s">
        <v>21</v>
      </c>
      <c r="E27" s="2" t="s">
        <v>22</v>
      </c>
      <c r="F27" s="12">
        <v>100</v>
      </c>
      <c r="G27" s="7" t="str">
        <f>SUMIFS('Report'!$F$4:$F$10000,'Report'!$A$4:$A$10000, "&gt;=" &amp; A27,'Report'!$A$4:$A$10000, "&lt;=" &amp; B27,'Report'!$C$4:$C$10000, "&lt;=" &amp; C27,'Report'!$D$4:$D$10000, "&lt;=" &amp; D27)</f>
        <v>0</v>
      </c>
      <c r="H27" s="8" t="str">
        <f>SUMIFS('Report'!$G$4:$G$10000,'Report'!$A$4:$A$10000, "&gt;=" &amp; A27,'Report'!$A$4:$A$10000, "&lt;=" &amp; B27,'Report'!$C$4:$C$10000, "&lt;=" &amp; C27,'Report'!$D$4:$D$10000, "&lt;=" &amp; D27)</f>
        <v>0</v>
      </c>
      <c r="I27" s="9">
        <v>100000</v>
      </c>
      <c r="J27" s="7" t="str">
        <f>COUNTIFS('Report'!$A$4:$A$10000, "&gt;=" &amp; A27,'Report'!$A$4:$A$10000, "&lt;=" &amp; B27,'Report'!$C$4:$C$10000, "&lt;=" &amp; C27,'Report'!$D$4:$D$10000, "&lt;=" &amp; D27)</f>
        <v>0</v>
      </c>
      <c r="K27" s="9" t="str">
        <f>IF(G27=0, 0, I27/G27)</f>
        <v>0</v>
      </c>
      <c r="L27" s="9" t="str">
        <f>IF(G27=0, 0, I27/H27)</f>
        <v>0</v>
      </c>
      <c r="M27" s="9" t="str">
        <f>IF(G27=0, 0, I27/J27)</f>
        <v>0</v>
      </c>
    </row>
    <row r="28" spans="1:13">
      <c r="A28" s="10">
        <v>46016</v>
      </c>
      <c r="B28" s="10" t="str">
        <f>IF(A29="", A28, A29-1)</f>
        <v>0</v>
      </c>
      <c r="C28" s="2" t="s">
        <v>20</v>
      </c>
      <c r="D28" s="2" t="s">
        <v>21</v>
      </c>
      <c r="E28" s="2" t="s">
        <v>22</v>
      </c>
      <c r="F28" s="12">
        <v>100</v>
      </c>
      <c r="G28" s="7" t="str">
        <f>SUMIFS('Report'!$F$4:$F$10000,'Report'!$A$4:$A$10000, "&gt;=" &amp; A28,'Report'!$A$4:$A$10000, "&lt;=" &amp; B28,'Report'!$C$4:$C$10000, "&lt;=" &amp; C28,'Report'!$D$4:$D$10000, "&lt;=" &amp; D28)</f>
        <v>0</v>
      </c>
      <c r="H28" s="8" t="str">
        <f>SUMIFS('Report'!$G$4:$G$10000,'Report'!$A$4:$A$10000, "&gt;=" &amp; A28,'Report'!$A$4:$A$10000, "&lt;=" &amp; B28,'Report'!$C$4:$C$10000, "&lt;=" &amp; C28,'Report'!$D$4:$D$10000, "&lt;=" &amp; D28)</f>
        <v>0</v>
      </c>
      <c r="I28" s="9">
        <v>100000</v>
      </c>
      <c r="J28" s="7" t="str">
        <f>COUNTIFS('Report'!$A$4:$A$10000, "&gt;=" &amp; A28,'Report'!$A$4:$A$10000, "&lt;=" &amp; B28,'Report'!$C$4:$C$10000, "&lt;=" &amp; C28,'Report'!$D$4:$D$10000, "&lt;=" &amp; D28)</f>
        <v>0</v>
      </c>
      <c r="K28" s="9" t="str">
        <f>IF(G28=0, 0, I28/G28)</f>
        <v>0</v>
      </c>
      <c r="L28" s="9" t="str">
        <f>IF(G28=0, 0, I28/H28)</f>
        <v>0</v>
      </c>
      <c r="M28" s="9" t="str">
        <f>IF(G28=0, 0, I28/J28)</f>
        <v>0</v>
      </c>
    </row>
    <row r="29" spans="1:13">
      <c r="A29" s="10">
        <v>46021</v>
      </c>
      <c r="B29" s="10" t="str">
        <f>IF(A30="", A29, A30-1)</f>
        <v>0</v>
      </c>
      <c r="C29" s="2" t="s">
        <v>20</v>
      </c>
      <c r="D29" s="2" t="s">
        <v>21</v>
      </c>
      <c r="E29" s="2" t="s">
        <v>22</v>
      </c>
      <c r="F29" s="12">
        <v>100</v>
      </c>
      <c r="G29" s="7" t="str">
        <f>SUMIFS('Report'!$F$4:$F$10000,'Report'!$A$4:$A$10000, "&gt;=" &amp; A29,'Report'!$A$4:$A$10000, "&lt;=" &amp; B29,'Report'!$C$4:$C$10000, "&lt;=" &amp; C29,'Report'!$D$4:$D$10000, "&lt;=" &amp; D29)</f>
        <v>0</v>
      </c>
      <c r="H29" s="8" t="str">
        <f>SUMIFS('Report'!$G$4:$G$10000,'Report'!$A$4:$A$10000, "&gt;=" &amp; A29,'Report'!$A$4:$A$10000, "&lt;=" &amp; B29,'Report'!$C$4:$C$10000, "&lt;=" &amp; C29,'Report'!$D$4:$D$10000, "&lt;=" &amp; D29)</f>
        <v>0</v>
      </c>
      <c r="I29" s="9">
        <v>100000</v>
      </c>
      <c r="J29" s="7" t="str">
        <f>COUNTIFS('Report'!$A$4:$A$10000, "&gt;=" &amp; A29,'Report'!$A$4:$A$10000, "&lt;=" &amp; B29,'Report'!$C$4:$C$10000, "&lt;=" &amp; C29,'Report'!$D$4:$D$10000, "&lt;=" &amp; D29)</f>
        <v>0</v>
      </c>
      <c r="K29" s="9" t="str">
        <f>IF(G29=0, 0, I29/G29)</f>
        <v>0</v>
      </c>
      <c r="L29" s="9" t="str">
        <f>IF(G29=0, 0, I29/H29)</f>
        <v>0</v>
      </c>
      <c r="M29" s="9" t="str">
        <f>IF(G29=0, 0, I29/J29)</f>
        <v>0</v>
      </c>
    </row>
    <row r="30" spans="1:13">
      <c r="A30" s="10">
        <v>46026</v>
      </c>
      <c r="B30" s="10" t="str">
        <f>IF(A31="", A30, A31-1)</f>
        <v>0</v>
      </c>
      <c r="C30" s="2" t="s">
        <v>20</v>
      </c>
      <c r="D30" s="2" t="s">
        <v>21</v>
      </c>
      <c r="E30" s="2" t="s">
        <v>22</v>
      </c>
      <c r="F30" s="12">
        <v>102</v>
      </c>
      <c r="G30" s="7" t="str">
        <f>SUMIFS('Report'!$F$4:$F$10000,'Report'!$A$4:$A$10000, "&gt;=" &amp; A30,'Report'!$A$4:$A$10000, "&lt;=" &amp; B30,'Report'!$C$4:$C$10000, "&lt;=" &amp; C30,'Report'!$D$4:$D$10000, "&lt;=" &amp; D30)</f>
        <v>0</v>
      </c>
      <c r="H30" s="8" t="str">
        <f>SUMIFS('Report'!$G$4:$G$10000,'Report'!$A$4:$A$10000, "&gt;=" &amp; A30,'Report'!$A$4:$A$10000, "&lt;=" &amp; B30,'Report'!$C$4:$C$10000, "&lt;=" &amp; C30,'Report'!$D$4:$D$10000, "&lt;=" &amp; D30)</f>
        <v>0</v>
      </c>
      <c r="I30" s="9">
        <v>100020</v>
      </c>
      <c r="J30" s="7" t="str">
        <f>COUNTIFS('Report'!$A$4:$A$10000, "&gt;=" &amp; A30,'Report'!$A$4:$A$10000, "&lt;=" &amp; B30,'Report'!$C$4:$C$10000, "&lt;=" &amp; C30,'Report'!$D$4:$D$10000, "&lt;=" &amp; D30)</f>
        <v>0</v>
      </c>
      <c r="K30" s="9" t="str">
        <f>IF(G30=0, 0, I30/G30)</f>
        <v>0</v>
      </c>
      <c r="L30" s="9" t="str">
        <f>IF(G30=0, 0, I30/H30)</f>
        <v>0</v>
      </c>
      <c r="M30" s="9" t="str">
        <f>IF(G30=0, 0, I30/J30)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M30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M28"/>
  <sheetViews>
    <sheetView tabSelected="0" workbookViewId="0" zoomScale="95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0" customWidth="true" style="0"/>
    <col min="5" max="5" width="20" customWidth="true" style="0"/>
    <col min="6" max="6" width="18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</cols>
  <sheetData>
    <row r="4" spans="1:13">
      <c r="A4" s="1" t="s">
        <v>58</v>
      </c>
      <c r="B4" s="1" t="s">
        <v>59</v>
      </c>
      <c r="C4" s="1" t="s">
        <v>2</v>
      </c>
      <c r="D4" s="1" t="s">
        <v>3</v>
      </c>
      <c r="E4" s="1" t="s">
        <v>4</v>
      </c>
      <c r="F4" s="1" t="s">
        <v>68</v>
      </c>
      <c r="G4" s="1" t="s">
        <v>5</v>
      </c>
      <c r="H4" s="1" t="s">
        <v>6</v>
      </c>
      <c r="I4" s="1" t="s">
        <v>67</v>
      </c>
      <c r="J4" s="1" t="s">
        <v>70</v>
      </c>
      <c r="K4" s="1" t="s">
        <v>63</v>
      </c>
      <c r="L4" s="1" t="s">
        <v>64</v>
      </c>
      <c r="M4" s="1" t="s">
        <v>71</v>
      </c>
    </row>
    <row r="5" spans="1:13">
      <c r="A5" s="10">
        <v>45911</v>
      </c>
      <c r="B5" s="10" t="str">
        <f>IF(A6="", A5, A6-1)</f>
        <v>0</v>
      </c>
      <c r="C5" s="2" t="s">
        <v>20</v>
      </c>
      <c r="D5" s="2" t="s">
        <v>21</v>
      </c>
      <c r="E5" s="2" t="s">
        <v>22</v>
      </c>
      <c r="F5" s="12">
        <v>1</v>
      </c>
      <c r="G5" s="7" t="str">
        <f>SUMIFS('Report'!$F$4:$F$10000,'Report'!$A$4:$A$10000, "&gt;=" &amp; A5,'Report'!$A$4:$A$10000, "&lt;=" &amp; B5,'Report'!$C$4:$C$10000, "&lt;=" &amp; C5,'Report'!$D$4:$D$10000, "&lt;=" &amp; D5)</f>
        <v>0</v>
      </c>
      <c r="H5" s="8" t="str">
        <f>SUMIFS('Report'!$G$4:$G$10000,'Report'!$A$4:$A$10000, "&gt;=" &amp; A5,'Report'!$A$4:$A$10000, "&lt;=" &amp; B5,'Report'!$C$4:$C$10000, "&lt;=" &amp; C5,'Report'!$D$4:$D$10000, "&lt;=" &amp; D5)</f>
        <v>0</v>
      </c>
      <c r="I5" s="9">
        <v>100000</v>
      </c>
      <c r="J5" s="7" t="str">
        <f>COUNTIFS('Report'!$A$4:$A$10000, "&gt;=" &amp; A5,'Report'!$A$4:$A$10000, "&lt;=" &amp; B5,'Report'!$C$4:$C$10000, "&lt;=" &amp; C5,'Report'!$D$4:$D$10000, "&lt;=" &amp; D5)</f>
        <v>0</v>
      </c>
      <c r="K5" s="9" t="str">
        <f>IF(G5=0, 0, I5/G5)</f>
        <v>0</v>
      </c>
      <c r="L5" s="9" t="str">
        <f>IF(G5=0, 0, I5/H5)</f>
        <v>0</v>
      </c>
      <c r="M5" s="9" t="str">
        <f>IF(G5=0, 0, I5/J5)</f>
        <v>0</v>
      </c>
    </row>
    <row r="6" spans="1:13">
      <c r="A6" s="10">
        <v>45916</v>
      </c>
      <c r="B6" s="10" t="str">
        <f>IF(A7="", A6, A7-1)</f>
        <v>0</v>
      </c>
      <c r="C6" s="2" t="s">
        <v>20</v>
      </c>
      <c r="D6" s="2" t="s">
        <v>21</v>
      </c>
      <c r="E6" s="2" t="s">
        <v>22</v>
      </c>
      <c r="F6" s="12">
        <v>1</v>
      </c>
      <c r="G6" s="7" t="str">
        <f>SUMIFS('Report'!$F$4:$F$10000,'Report'!$A$4:$A$10000, "&gt;=" &amp; A6,'Report'!$A$4:$A$10000, "&lt;=" &amp; B6,'Report'!$C$4:$C$10000, "&lt;=" &amp; C6,'Report'!$D$4:$D$10000, "&lt;=" &amp; D6)</f>
        <v>0</v>
      </c>
      <c r="H6" s="8" t="str">
        <f>SUMIFS('Report'!$G$4:$G$10000,'Report'!$A$4:$A$10000, "&gt;=" &amp; A6,'Report'!$A$4:$A$10000, "&lt;=" &amp; B6,'Report'!$C$4:$C$10000, "&lt;=" &amp; C6,'Report'!$D$4:$D$10000, "&lt;=" &amp; D6)</f>
        <v>0</v>
      </c>
      <c r="I6" s="9">
        <v>100000</v>
      </c>
      <c r="J6" s="7" t="str">
        <f>COUNTIFS('Report'!$A$4:$A$10000, "&gt;=" &amp; A6,'Report'!$A$4:$A$10000, "&lt;=" &amp; B6,'Report'!$C$4:$C$10000, "&lt;=" &amp; C6,'Report'!$D$4:$D$10000, "&lt;=" &amp; D6)</f>
        <v>0</v>
      </c>
      <c r="K6" s="9" t="str">
        <f>IF(G6=0, 0, I6/G6)</f>
        <v>0</v>
      </c>
      <c r="L6" s="9" t="str">
        <f>IF(G6=0, 0, I6/H6)</f>
        <v>0</v>
      </c>
      <c r="M6" s="9" t="str">
        <f>IF(G6=0, 0, I6/J6)</f>
        <v>0</v>
      </c>
    </row>
    <row r="7" spans="1:13">
      <c r="A7" s="10">
        <v>45921</v>
      </c>
      <c r="B7" s="10" t="str">
        <f>IF(A8="", A7, A8-1)</f>
        <v>0</v>
      </c>
      <c r="C7" s="2" t="s">
        <v>20</v>
      </c>
      <c r="D7" s="2" t="s">
        <v>21</v>
      </c>
      <c r="E7" s="2" t="s">
        <v>22</v>
      </c>
      <c r="F7" s="12">
        <v>1</v>
      </c>
      <c r="G7" s="7" t="str">
        <f>SUMIFS('Report'!$F$4:$F$10000,'Report'!$A$4:$A$10000, "&gt;=" &amp; A7,'Report'!$A$4:$A$10000, "&lt;=" &amp; B7,'Report'!$C$4:$C$10000, "&lt;=" &amp; C7,'Report'!$D$4:$D$10000, "&lt;=" &amp; D7)</f>
        <v>0</v>
      </c>
      <c r="H7" s="8" t="str">
        <f>SUMIFS('Report'!$G$4:$G$10000,'Report'!$A$4:$A$10000, "&gt;=" &amp; A7,'Report'!$A$4:$A$10000, "&lt;=" &amp; B7,'Report'!$C$4:$C$10000, "&lt;=" &amp; C7,'Report'!$D$4:$D$10000, "&lt;=" &amp; D7)</f>
        <v>0</v>
      </c>
      <c r="I7" s="9">
        <v>100000</v>
      </c>
      <c r="J7" s="7" t="str">
        <f>COUNTIFS('Report'!$A$4:$A$10000, "&gt;=" &amp; A7,'Report'!$A$4:$A$10000, "&lt;=" &amp; B7,'Report'!$C$4:$C$10000, "&lt;=" &amp; C7,'Report'!$D$4:$D$10000, "&lt;=" &amp; D7)</f>
        <v>0</v>
      </c>
      <c r="K7" s="9" t="str">
        <f>IF(G7=0, 0, I7/G7)</f>
        <v>0</v>
      </c>
      <c r="L7" s="9" t="str">
        <f>IF(G7=0, 0, I7/H7)</f>
        <v>0</v>
      </c>
      <c r="M7" s="9" t="str">
        <f>IF(G7=0, 0, I7/J7)</f>
        <v>0</v>
      </c>
    </row>
    <row r="8" spans="1:13">
      <c r="A8" s="10">
        <v>45926</v>
      </c>
      <c r="B8" s="10" t="str">
        <f>IF(A9="", A8, A9-1)</f>
        <v>0</v>
      </c>
      <c r="C8" s="2" t="s">
        <v>20</v>
      </c>
      <c r="D8" s="2" t="s">
        <v>21</v>
      </c>
      <c r="E8" s="2" t="s">
        <v>22</v>
      </c>
      <c r="F8" s="12">
        <v>1</v>
      </c>
      <c r="G8" s="7" t="str">
        <f>SUMIFS('Report'!$F$4:$F$10000,'Report'!$A$4:$A$10000, "&gt;=" &amp; A8,'Report'!$A$4:$A$10000, "&lt;=" &amp; B8,'Report'!$C$4:$C$10000, "&lt;=" &amp; C8,'Report'!$D$4:$D$10000, "&lt;=" &amp; D8)</f>
        <v>0</v>
      </c>
      <c r="H8" s="8" t="str">
        <f>SUMIFS('Report'!$G$4:$G$10000,'Report'!$A$4:$A$10000, "&gt;=" &amp; A8,'Report'!$A$4:$A$10000, "&lt;=" &amp; B8,'Report'!$C$4:$C$10000, "&lt;=" &amp; C8,'Report'!$D$4:$D$10000, "&lt;=" &amp; D8)</f>
        <v>0</v>
      </c>
      <c r="I8" s="9">
        <v>100000</v>
      </c>
      <c r="J8" s="7" t="str">
        <f>COUNTIFS('Report'!$A$4:$A$10000, "&gt;=" &amp; A8,'Report'!$A$4:$A$10000, "&lt;=" &amp; B8,'Report'!$C$4:$C$10000, "&lt;=" &amp; C8,'Report'!$D$4:$D$10000, "&lt;=" &amp; D8)</f>
        <v>0</v>
      </c>
      <c r="K8" s="9" t="str">
        <f>IF(G8=0, 0, I8/G8)</f>
        <v>0</v>
      </c>
      <c r="L8" s="9" t="str">
        <f>IF(G8=0, 0, I8/H8)</f>
        <v>0</v>
      </c>
      <c r="M8" s="9" t="str">
        <f>IF(G8=0, 0, I8/J8)</f>
        <v>0</v>
      </c>
    </row>
    <row r="9" spans="1:13">
      <c r="A9" s="10">
        <v>45931</v>
      </c>
      <c r="B9" s="10" t="str">
        <f>IF(A10="", A9, A10-1)</f>
        <v>0</v>
      </c>
      <c r="C9" s="2" t="s">
        <v>20</v>
      </c>
      <c r="D9" s="2" t="s">
        <v>21</v>
      </c>
      <c r="E9" s="2" t="s">
        <v>22</v>
      </c>
      <c r="F9" s="12">
        <v>1</v>
      </c>
      <c r="G9" s="7" t="str">
        <f>SUMIFS('Report'!$F$4:$F$10000,'Report'!$A$4:$A$10000, "&gt;=" &amp; A9,'Report'!$A$4:$A$10000, "&lt;=" &amp; B9,'Report'!$C$4:$C$10000, "&lt;=" &amp; C9,'Report'!$D$4:$D$10000, "&lt;=" &amp; D9)</f>
        <v>0</v>
      </c>
      <c r="H9" s="8" t="str">
        <f>SUMIFS('Report'!$G$4:$G$10000,'Report'!$A$4:$A$10000, "&gt;=" &amp; A9,'Report'!$A$4:$A$10000, "&lt;=" &amp; B9,'Report'!$C$4:$C$10000, "&lt;=" &amp; C9,'Report'!$D$4:$D$10000, "&lt;=" &amp; D9)</f>
        <v>0</v>
      </c>
      <c r="I9" s="9">
        <v>100000</v>
      </c>
      <c r="J9" s="7" t="str">
        <f>COUNTIFS('Report'!$A$4:$A$10000, "&gt;=" &amp; A9,'Report'!$A$4:$A$10000, "&lt;=" &amp; B9,'Report'!$C$4:$C$10000, "&lt;=" &amp; C9,'Report'!$D$4:$D$10000, "&lt;=" &amp; D9)</f>
        <v>0</v>
      </c>
      <c r="K9" s="9" t="str">
        <f>IF(G9=0, 0, I9/G9)</f>
        <v>0</v>
      </c>
      <c r="L9" s="9" t="str">
        <f>IF(G9=0, 0, I9/H9)</f>
        <v>0</v>
      </c>
      <c r="M9" s="9" t="str">
        <f>IF(G9=0, 0, I9/J9)</f>
        <v>0</v>
      </c>
    </row>
    <row r="10" spans="1:13">
      <c r="A10" s="10">
        <v>45936</v>
      </c>
      <c r="B10" s="10" t="str">
        <f>IF(A11="", A10, A11-1)</f>
        <v>0</v>
      </c>
      <c r="C10" s="2" t="s">
        <v>20</v>
      </c>
      <c r="D10" s="2" t="s">
        <v>21</v>
      </c>
      <c r="E10" s="2" t="s">
        <v>22</v>
      </c>
      <c r="F10" s="12">
        <v>1</v>
      </c>
      <c r="G10" s="7" t="str">
        <f>SUMIFS('Report'!$F$4:$F$10000,'Report'!$A$4:$A$10000, "&gt;=" &amp; A10,'Report'!$A$4:$A$10000, "&lt;=" &amp; B10,'Report'!$C$4:$C$10000, "&lt;=" &amp; C10,'Report'!$D$4:$D$10000, "&lt;=" &amp; D10)</f>
        <v>0</v>
      </c>
      <c r="H10" s="8" t="str">
        <f>SUMIFS('Report'!$G$4:$G$10000,'Report'!$A$4:$A$10000, "&gt;=" &amp; A10,'Report'!$A$4:$A$10000, "&lt;=" &amp; B10,'Report'!$C$4:$C$10000, "&lt;=" &amp; C10,'Report'!$D$4:$D$10000, "&lt;=" &amp; D10)</f>
        <v>0</v>
      </c>
      <c r="I10" s="9">
        <v>100000</v>
      </c>
      <c r="J10" s="7" t="str">
        <f>COUNTIFS('Report'!$A$4:$A$10000, "&gt;=" &amp; A10,'Report'!$A$4:$A$10000, "&lt;=" &amp; B10,'Report'!$C$4:$C$10000, "&lt;=" &amp; C10,'Report'!$D$4:$D$10000, "&lt;=" &amp; D10)</f>
        <v>0</v>
      </c>
      <c r="K10" s="9" t="str">
        <f>IF(G10=0, 0, I10/G10)</f>
        <v>0</v>
      </c>
      <c r="L10" s="9" t="str">
        <f>IF(G10=0, 0, I10/H10)</f>
        <v>0</v>
      </c>
      <c r="M10" s="9" t="str">
        <f>IF(G10=0, 0, I10/J10)</f>
        <v>0</v>
      </c>
    </row>
    <row r="11" spans="1:13">
      <c r="A11" s="10">
        <v>45941</v>
      </c>
      <c r="B11" s="10" t="str">
        <f>IF(A12="", A11, A12-1)</f>
        <v>0</v>
      </c>
      <c r="C11" s="2" t="s">
        <v>20</v>
      </c>
      <c r="D11" s="2" t="s">
        <v>21</v>
      </c>
      <c r="E11" s="2" t="s">
        <v>22</v>
      </c>
      <c r="F11" s="12">
        <v>1</v>
      </c>
      <c r="G11" s="7" t="str">
        <f>SUMIFS('Report'!$F$4:$F$10000,'Report'!$A$4:$A$10000, "&gt;=" &amp; A11,'Report'!$A$4:$A$10000, "&lt;=" &amp; B11,'Report'!$C$4:$C$10000, "&lt;=" &amp; C11,'Report'!$D$4:$D$10000, "&lt;=" &amp; D11)</f>
        <v>0</v>
      </c>
      <c r="H11" s="8" t="str">
        <f>SUMIFS('Report'!$G$4:$G$10000,'Report'!$A$4:$A$10000, "&gt;=" &amp; A11,'Report'!$A$4:$A$10000, "&lt;=" &amp; B11,'Report'!$C$4:$C$10000, "&lt;=" &amp; C11,'Report'!$D$4:$D$10000, "&lt;=" &amp; D11)</f>
        <v>0</v>
      </c>
      <c r="I11" s="9">
        <v>100000</v>
      </c>
      <c r="J11" s="7" t="str">
        <f>COUNTIFS('Report'!$A$4:$A$10000, "&gt;=" &amp; A11,'Report'!$A$4:$A$10000, "&lt;=" &amp; B11,'Report'!$C$4:$C$10000, "&lt;=" &amp; C11,'Report'!$D$4:$D$10000, "&lt;=" &amp; D11)</f>
        <v>0</v>
      </c>
      <c r="K11" s="9" t="str">
        <f>IF(G11=0, 0, I11/G11)</f>
        <v>0</v>
      </c>
      <c r="L11" s="9" t="str">
        <f>IF(G11=0, 0, I11/H11)</f>
        <v>0</v>
      </c>
      <c r="M11" s="9" t="str">
        <f>IF(G11=0, 0, I11/J11)</f>
        <v>0</v>
      </c>
    </row>
    <row r="12" spans="1:13">
      <c r="A12" s="10">
        <v>45946</v>
      </c>
      <c r="B12" s="10" t="str">
        <f>IF(A13="", A12, A13-1)</f>
        <v>0</v>
      </c>
      <c r="C12" s="2" t="s">
        <v>20</v>
      </c>
      <c r="D12" s="2" t="s">
        <v>21</v>
      </c>
      <c r="E12" s="2" t="s">
        <v>22</v>
      </c>
      <c r="F12" s="12">
        <v>1</v>
      </c>
      <c r="G12" s="7" t="str">
        <f>SUMIFS('Report'!$F$4:$F$10000,'Report'!$A$4:$A$10000, "&gt;=" &amp; A12,'Report'!$A$4:$A$10000, "&lt;=" &amp; B12,'Report'!$C$4:$C$10000, "&lt;=" &amp; C12,'Report'!$D$4:$D$10000, "&lt;=" &amp; D12)</f>
        <v>0</v>
      </c>
      <c r="H12" s="8" t="str">
        <f>SUMIFS('Report'!$G$4:$G$10000,'Report'!$A$4:$A$10000, "&gt;=" &amp; A12,'Report'!$A$4:$A$10000, "&lt;=" &amp; B12,'Report'!$C$4:$C$10000, "&lt;=" &amp; C12,'Report'!$D$4:$D$10000, "&lt;=" &amp; D12)</f>
        <v>0</v>
      </c>
      <c r="I12" s="9">
        <v>100000</v>
      </c>
      <c r="J12" s="7" t="str">
        <f>COUNTIFS('Report'!$A$4:$A$10000, "&gt;=" &amp; A12,'Report'!$A$4:$A$10000, "&lt;=" &amp; B12,'Report'!$C$4:$C$10000, "&lt;=" &amp; C12,'Report'!$D$4:$D$10000, "&lt;=" &amp; D12)</f>
        <v>0</v>
      </c>
      <c r="K12" s="9" t="str">
        <f>IF(G12=0, 0, I12/G12)</f>
        <v>0</v>
      </c>
      <c r="L12" s="9" t="str">
        <f>IF(G12=0, 0, I12/H12)</f>
        <v>0</v>
      </c>
      <c r="M12" s="9" t="str">
        <f>IF(G12=0, 0, I12/J12)</f>
        <v>0</v>
      </c>
    </row>
    <row r="13" spans="1:13">
      <c r="A13" s="10">
        <v>45951</v>
      </c>
      <c r="B13" s="10" t="str">
        <f>IF(A14="", A13, A14-1)</f>
        <v>0</v>
      </c>
      <c r="C13" s="2" t="s">
        <v>20</v>
      </c>
      <c r="D13" s="2" t="s">
        <v>21</v>
      </c>
      <c r="E13" s="2" t="s">
        <v>22</v>
      </c>
      <c r="F13" s="12">
        <v>1</v>
      </c>
      <c r="G13" s="7" t="str">
        <f>SUMIFS('Report'!$F$4:$F$10000,'Report'!$A$4:$A$10000, "&gt;=" &amp; A13,'Report'!$A$4:$A$10000, "&lt;=" &amp; B13,'Report'!$C$4:$C$10000, "&lt;=" &amp; C13,'Report'!$D$4:$D$10000, "&lt;=" &amp; D13)</f>
        <v>0</v>
      </c>
      <c r="H13" s="8" t="str">
        <f>SUMIFS('Report'!$G$4:$G$10000,'Report'!$A$4:$A$10000, "&gt;=" &amp; A13,'Report'!$A$4:$A$10000, "&lt;=" &amp; B13,'Report'!$C$4:$C$10000, "&lt;=" &amp; C13,'Report'!$D$4:$D$10000, "&lt;=" &amp; D13)</f>
        <v>0</v>
      </c>
      <c r="I13" s="9">
        <v>100000</v>
      </c>
      <c r="J13" s="7" t="str">
        <f>COUNTIFS('Report'!$A$4:$A$10000, "&gt;=" &amp; A13,'Report'!$A$4:$A$10000, "&lt;=" &amp; B13,'Report'!$C$4:$C$10000, "&lt;=" &amp; C13,'Report'!$D$4:$D$10000, "&lt;=" &amp; D13)</f>
        <v>0</v>
      </c>
      <c r="K13" s="9" t="str">
        <f>IF(G13=0, 0, I13/G13)</f>
        <v>0</v>
      </c>
      <c r="L13" s="9" t="str">
        <f>IF(G13=0, 0, I13/H13)</f>
        <v>0</v>
      </c>
      <c r="M13" s="9" t="str">
        <f>IF(G13=0, 0, I13/J13)</f>
        <v>0</v>
      </c>
    </row>
    <row r="14" spans="1:13">
      <c r="A14" s="10">
        <v>45956</v>
      </c>
      <c r="B14" s="10" t="str">
        <f>IF(A15="", A14, A15-1)</f>
        <v>0</v>
      </c>
      <c r="C14" s="2" t="s">
        <v>20</v>
      </c>
      <c r="D14" s="2" t="s">
        <v>21</v>
      </c>
      <c r="E14" s="2" t="s">
        <v>22</v>
      </c>
      <c r="F14" s="12">
        <v>1</v>
      </c>
      <c r="G14" s="7" t="str">
        <f>SUMIFS('Report'!$F$4:$F$10000,'Report'!$A$4:$A$10000, "&gt;=" &amp; A14,'Report'!$A$4:$A$10000, "&lt;=" &amp; B14,'Report'!$C$4:$C$10000, "&lt;=" &amp; C14,'Report'!$D$4:$D$10000, "&lt;=" &amp; D14)</f>
        <v>0</v>
      </c>
      <c r="H14" s="8" t="str">
        <f>SUMIFS('Report'!$G$4:$G$10000,'Report'!$A$4:$A$10000, "&gt;=" &amp; A14,'Report'!$A$4:$A$10000, "&lt;=" &amp; B14,'Report'!$C$4:$C$10000, "&lt;=" &amp; C14,'Report'!$D$4:$D$10000, "&lt;=" &amp; D14)</f>
        <v>0</v>
      </c>
      <c r="I14" s="9">
        <v>100000</v>
      </c>
      <c r="J14" s="7" t="str">
        <f>COUNTIFS('Report'!$A$4:$A$10000, "&gt;=" &amp; A14,'Report'!$A$4:$A$10000, "&lt;=" &amp; B14,'Report'!$C$4:$C$10000, "&lt;=" &amp; C14,'Report'!$D$4:$D$10000, "&lt;=" &amp; D14)</f>
        <v>0</v>
      </c>
      <c r="K14" s="9" t="str">
        <f>IF(G14=0, 0, I14/G14)</f>
        <v>0</v>
      </c>
      <c r="L14" s="9" t="str">
        <f>IF(G14=0, 0, I14/H14)</f>
        <v>0</v>
      </c>
      <c r="M14" s="9" t="str">
        <f>IF(G14=0, 0, I14/J14)</f>
        <v>0</v>
      </c>
    </row>
    <row r="15" spans="1:13">
      <c r="A15" s="10">
        <v>45961</v>
      </c>
      <c r="B15" s="10" t="str">
        <f>IF(A16="", A15, A16-1)</f>
        <v>0</v>
      </c>
      <c r="C15" s="2" t="s">
        <v>20</v>
      </c>
      <c r="D15" s="2" t="s">
        <v>21</v>
      </c>
      <c r="E15" s="2" t="s">
        <v>22</v>
      </c>
      <c r="F15" s="12">
        <v>1</v>
      </c>
      <c r="G15" s="7" t="str">
        <f>SUMIFS('Report'!$F$4:$F$10000,'Report'!$A$4:$A$10000, "&gt;=" &amp; A15,'Report'!$A$4:$A$10000, "&lt;=" &amp; B15,'Report'!$C$4:$C$10000, "&lt;=" &amp; C15,'Report'!$D$4:$D$10000, "&lt;=" &amp; D15)</f>
        <v>0</v>
      </c>
      <c r="H15" s="8" t="str">
        <f>SUMIFS('Report'!$G$4:$G$10000,'Report'!$A$4:$A$10000, "&gt;=" &amp; A15,'Report'!$A$4:$A$10000, "&lt;=" &amp; B15,'Report'!$C$4:$C$10000, "&lt;=" &amp; C15,'Report'!$D$4:$D$10000, "&lt;=" &amp; D15)</f>
        <v>0</v>
      </c>
      <c r="I15" s="9">
        <v>100000</v>
      </c>
      <c r="J15" s="7" t="str">
        <f>COUNTIFS('Report'!$A$4:$A$10000, "&gt;=" &amp; A15,'Report'!$A$4:$A$10000, "&lt;=" &amp; B15,'Report'!$C$4:$C$10000, "&lt;=" &amp; C15,'Report'!$D$4:$D$10000, "&lt;=" &amp; D15)</f>
        <v>0</v>
      </c>
      <c r="K15" s="9" t="str">
        <f>IF(G15=0, 0, I15/G15)</f>
        <v>0</v>
      </c>
      <c r="L15" s="9" t="str">
        <f>IF(G15=0, 0, I15/H15)</f>
        <v>0</v>
      </c>
      <c r="M15" s="9" t="str">
        <f>IF(G15=0, 0, I15/J15)</f>
        <v>0</v>
      </c>
    </row>
    <row r="16" spans="1:13">
      <c r="A16" s="10">
        <v>45966</v>
      </c>
      <c r="B16" s="10" t="str">
        <f>IF(A17="", A16, A17-1)</f>
        <v>0</v>
      </c>
      <c r="C16" s="2" t="s">
        <v>20</v>
      </c>
      <c r="D16" s="2" t="s">
        <v>21</v>
      </c>
      <c r="E16" s="2" t="s">
        <v>22</v>
      </c>
      <c r="F16" s="12">
        <v>1</v>
      </c>
      <c r="G16" s="7" t="str">
        <f>SUMIFS('Report'!$F$4:$F$10000,'Report'!$A$4:$A$10000, "&gt;=" &amp; A16,'Report'!$A$4:$A$10000, "&lt;=" &amp; B16,'Report'!$C$4:$C$10000, "&lt;=" &amp; C16,'Report'!$D$4:$D$10000, "&lt;=" &amp; D16)</f>
        <v>0</v>
      </c>
      <c r="H16" s="8" t="str">
        <f>SUMIFS('Report'!$G$4:$G$10000,'Report'!$A$4:$A$10000, "&gt;=" &amp; A16,'Report'!$A$4:$A$10000, "&lt;=" &amp; B16,'Report'!$C$4:$C$10000, "&lt;=" &amp; C16,'Report'!$D$4:$D$10000, "&lt;=" &amp; D16)</f>
        <v>0</v>
      </c>
      <c r="I16" s="9">
        <v>100000</v>
      </c>
      <c r="J16" s="7" t="str">
        <f>COUNTIFS('Report'!$A$4:$A$10000, "&gt;=" &amp; A16,'Report'!$A$4:$A$10000, "&lt;=" &amp; B16,'Report'!$C$4:$C$10000, "&lt;=" &amp; C16,'Report'!$D$4:$D$10000, "&lt;=" &amp; D16)</f>
        <v>0</v>
      </c>
      <c r="K16" s="9" t="str">
        <f>IF(G16=0, 0, I16/G16)</f>
        <v>0</v>
      </c>
      <c r="L16" s="9" t="str">
        <f>IF(G16=0, 0, I16/H16)</f>
        <v>0</v>
      </c>
      <c r="M16" s="9" t="str">
        <f>IF(G16=0, 0, I16/J16)</f>
        <v>0</v>
      </c>
    </row>
    <row r="17" spans="1:13">
      <c r="A17" s="10">
        <v>45971</v>
      </c>
      <c r="B17" s="10" t="str">
        <f>IF(A18="", A17, A18-1)</f>
        <v>0</v>
      </c>
      <c r="C17" s="2" t="s">
        <v>20</v>
      </c>
      <c r="D17" s="2" t="s">
        <v>21</v>
      </c>
      <c r="E17" s="2" t="s">
        <v>22</v>
      </c>
      <c r="F17" s="12">
        <v>1</v>
      </c>
      <c r="G17" s="7" t="str">
        <f>SUMIFS('Report'!$F$4:$F$10000,'Report'!$A$4:$A$10000, "&gt;=" &amp; A17,'Report'!$A$4:$A$10000, "&lt;=" &amp; B17,'Report'!$C$4:$C$10000, "&lt;=" &amp; C17,'Report'!$D$4:$D$10000, "&lt;=" &amp; D17)</f>
        <v>0</v>
      </c>
      <c r="H17" s="8" t="str">
        <f>SUMIFS('Report'!$G$4:$G$10000,'Report'!$A$4:$A$10000, "&gt;=" &amp; A17,'Report'!$A$4:$A$10000, "&lt;=" &amp; B17,'Report'!$C$4:$C$10000, "&lt;=" &amp; C17,'Report'!$D$4:$D$10000, "&lt;=" &amp; D17)</f>
        <v>0</v>
      </c>
      <c r="I17" s="9">
        <v>100000</v>
      </c>
      <c r="J17" s="7" t="str">
        <f>COUNTIFS('Report'!$A$4:$A$10000, "&gt;=" &amp; A17,'Report'!$A$4:$A$10000, "&lt;=" &amp; B17,'Report'!$C$4:$C$10000, "&lt;=" &amp; C17,'Report'!$D$4:$D$10000, "&lt;=" &amp; D17)</f>
        <v>0</v>
      </c>
      <c r="K17" s="9" t="str">
        <f>IF(G17=0, 0, I17/G17)</f>
        <v>0</v>
      </c>
      <c r="L17" s="9" t="str">
        <f>IF(G17=0, 0, I17/H17)</f>
        <v>0</v>
      </c>
      <c r="M17" s="9" t="str">
        <f>IF(G17=0, 0, I17/J17)</f>
        <v>0</v>
      </c>
    </row>
    <row r="18" spans="1:13">
      <c r="A18" s="10">
        <v>45976</v>
      </c>
      <c r="B18" s="10" t="str">
        <f>IF(A19="", A18, A19-1)</f>
        <v>0</v>
      </c>
      <c r="C18" s="2" t="s">
        <v>20</v>
      </c>
      <c r="D18" s="2" t="s">
        <v>21</v>
      </c>
      <c r="E18" s="2" t="s">
        <v>22</v>
      </c>
      <c r="F18" s="12">
        <v>1</v>
      </c>
      <c r="G18" s="7" t="str">
        <f>SUMIFS('Report'!$F$4:$F$10000,'Report'!$A$4:$A$10000, "&gt;=" &amp; A18,'Report'!$A$4:$A$10000, "&lt;=" &amp; B18,'Report'!$C$4:$C$10000, "&lt;=" &amp; C18,'Report'!$D$4:$D$10000, "&lt;=" &amp; D18)</f>
        <v>0</v>
      </c>
      <c r="H18" s="8" t="str">
        <f>SUMIFS('Report'!$G$4:$G$10000,'Report'!$A$4:$A$10000, "&gt;=" &amp; A18,'Report'!$A$4:$A$10000, "&lt;=" &amp; B18,'Report'!$C$4:$C$10000, "&lt;=" &amp; C18,'Report'!$D$4:$D$10000, "&lt;=" &amp; D18)</f>
        <v>0</v>
      </c>
      <c r="I18" s="9">
        <v>100000</v>
      </c>
      <c r="J18" s="7" t="str">
        <f>COUNTIFS('Report'!$A$4:$A$10000, "&gt;=" &amp; A18,'Report'!$A$4:$A$10000, "&lt;=" &amp; B18,'Report'!$C$4:$C$10000, "&lt;=" &amp; C18,'Report'!$D$4:$D$10000, "&lt;=" &amp; D18)</f>
        <v>0</v>
      </c>
      <c r="K18" s="9" t="str">
        <f>IF(G18=0, 0, I18/G18)</f>
        <v>0</v>
      </c>
      <c r="L18" s="9" t="str">
        <f>IF(G18=0, 0, I18/H18)</f>
        <v>0</v>
      </c>
      <c r="M18" s="9" t="str">
        <f>IF(G18=0, 0, I18/J18)</f>
        <v>0</v>
      </c>
    </row>
    <row r="19" spans="1:13">
      <c r="A19" s="10">
        <v>45981</v>
      </c>
      <c r="B19" s="10" t="str">
        <f>IF(A20="", A19, A20-1)</f>
        <v>0</v>
      </c>
      <c r="C19" s="2" t="s">
        <v>20</v>
      </c>
      <c r="D19" s="2" t="s">
        <v>21</v>
      </c>
      <c r="E19" s="2" t="s">
        <v>22</v>
      </c>
      <c r="F19" s="12">
        <v>1</v>
      </c>
      <c r="G19" s="7" t="str">
        <f>SUMIFS('Report'!$F$4:$F$10000,'Report'!$A$4:$A$10000, "&gt;=" &amp; A19,'Report'!$A$4:$A$10000, "&lt;=" &amp; B19,'Report'!$C$4:$C$10000, "&lt;=" &amp; C19,'Report'!$D$4:$D$10000, "&lt;=" &amp; D19)</f>
        <v>0</v>
      </c>
      <c r="H19" s="8" t="str">
        <f>SUMIFS('Report'!$G$4:$G$10000,'Report'!$A$4:$A$10000, "&gt;=" &amp; A19,'Report'!$A$4:$A$10000, "&lt;=" &amp; B19,'Report'!$C$4:$C$10000, "&lt;=" &amp; C19,'Report'!$D$4:$D$10000, "&lt;=" &amp; D19)</f>
        <v>0</v>
      </c>
      <c r="I19" s="9">
        <v>100000</v>
      </c>
      <c r="J19" s="7" t="str">
        <f>COUNTIFS('Report'!$A$4:$A$10000, "&gt;=" &amp; A19,'Report'!$A$4:$A$10000, "&lt;=" &amp; B19,'Report'!$C$4:$C$10000, "&lt;=" &amp; C19,'Report'!$D$4:$D$10000, "&lt;=" &amp; D19)</f>
        <v>0</v>
      </c>
      <c r="K19" s="9" t="str">
        <f>IF(G19=0, 0, I19/G19)</f>
        <v>0</v>
      </c>
      <c r="L19" s="9" t="str">
        <f>IF(G19=0, 0, I19/H19)</f>
        <v>0</v>
      </c>
      <c r="M19" s="9" t="str">
        <f>IF(G19=0, 0, I19/J19)</f>
        <v>0</v>
      </c>
    </row>
    <row r="20" spans="1:13">
      <c r="A20" s="10">
        <v>45986</v>
      </c>
      <c r="B20" s="10" t="str">
        <f>IF(A21="", A20, A21-1)</f>
        <v>0</v>
      </c>
      <c r="C20" s="2" t="s">
        <v>20</v>
      </c>
      <c r="D20" s="2" t="s">
        <v>21</v>
      </c>
      <c r="E20" s="2" t="s">
        <v>22</v>
      </c>
      <c r="F20" s="12">
        <v>1</v>
      </c>
      <c r="G20" s="7" t="str">
        <f>SUMIFS('Report'!$F$4:$F$10000,'Report'!$A$4:$A$10000, "&gt;=" &amp; A20,'Report'!$A$4:$A$10000, "&lt;=" &amp; B20,'Report'!$C$4:$C$10000, "&lt;=" &amp; C20,'Report'!$D$4:$D$10000, "&lt;=" &amp; D20)</f>
        <v>0</v>
      </c>
      <c r="H20" s="8" t="str">
        <f>SUMIFS('Report'!$G$4:$G$10000,'Report'!$A$4:$A$10000, "&gt;=" &amp; A20,'Report'!$A$4:$A$10000, "&lt;=" &amp; B20,'Report'!$C$4:$C$10000, "&lt;=" &amp; C20,'Report'!$D$4:$D$10000, "&lt;=" &amp; D20)</f>
        <v>0</v>
      </c>
      <c r="I20" s="9">
        <v>100000</v>
      </c>
      <c r="J20" s="7" t="str">
        <f>COUNTIFS('Report'!$A$4:$A$10000, "&gt;=" &amp; A20,'Report'!$A$4:$A$10000, "&lt;=" &amp; B20,'Report'!$C$4:$C$10000, "&lt;=" &amp; C20,'Report'!$D$4:$D$10000, "&lt;=" &amp; D20)</f>
        <v>0</v>
      </c>
      <c r="K20" s="9" t="str">
        <f>IF(G20=0, 0, I20/G20)</f>
        <v>0</v>
      </c>
      <c r="L20" s="9" t="str">
        <f>IF(G20=0, 0, I20/H20)</f>
        <v>0</v>
      </c>
      <c r="M20" s="9" t="str">
        <f>IF(G20=0, 0, I20/J20)</f>
        <v>0</v>
      </c>
    </row>
    <row r="21" spans="1:13">
      <c r="A21" s="10">
        <v>45991</v>
      </c>
      <c r="B21" s="10" t="str">
        <f>IF(A22="", A21, A22-1)</f>
        <v>0</v>
      </c>
      <c r="C21" s="2" t="s">
        <v>20</v>
      </c>
      <c r="D21" s="2" t="s">
        <v>21</v>
      </c>
      <c r="E21" s="2" t="s">
        <v>22</v>
      </c>
      <c r="F21" s="12">
        <v>1</v>
      </c>
      <c r="G21" s="7" t="str">
        <f>SUMIFS('Report'!$F$4:$F$10000,'Report'!$A$4:$A$10000, "&gt;=" &amp; A21,'Report'!$A$4:$A$10000, "&lt;=" &amp; B21,'Report'!$C$4:$C$10000, "&lt;=" &amp; C21,'Report'!$D$4:$D$10000, "&lt;=" &amp; D21)</f>
        <v>0</v>
      </c>
      <c r="H21" s="8" t="str">
        <f>SUMIFS('Report'!$G$4:$G$10000,'Report'!$A$4:$A$10000, "&gt;=" &amp; A21,'Report'!$A$4:$A$10000, "&lt;=" &amp; B21,'Report'!$C$4:$C$10000, "&lt;=" &amp; C21,'Report'!$D$4:$D$10000, "&lt;=" &amp; D21)</f>
        <v>0</v>
      </c>
      <c r="I21" s="9">
        <v>100000</v>
      </c>
      <c r="J21" s="7" t="str">
        <f>COUNTIFS('Report'!$A$4:$A$10000, "&gt;=" &amp; A21,'Report'!$A$4:$A$10000, "&lt;=" &amp; B21,'Report'!$C$4:$C$10000, "&lt;=" &amp; C21,'Report'!$D$4:$D$10000, "&lt;=" &amp; D21)</f>
        <v>0</v>
      </c>
      <c r="K21" s="9" t="str">
        <f>IF(G21=0, 0, I21/G21)</f>
        <v>0</v>
      </c>
      <c r="L21" s="9" t="str">
        <f>IF(G21=0, 0, I21/H21)</f>
        <v>0</v>
      </c>
      <c r="M21" s="9" t="str">
        <f>IF(G21=0, 0, I21/J21)</f>
        <v>0</v>
      </c>
    </row>
    <row r="22" spans="1:13">
      <c r="A22" s="10">
        <v>45996</v>
      </c>
      <c r="B22" s="10" t="str">
        <f>IF(A23="", A22, A23-1)</f>
        <v>0</v>
      </c>
      <c r="C22" s="2" t="s">
        <v>20</v>
      </c>
      <c r="D22" s="2" t="s">
        <v>21</v>
      </c>
      <c r="E22" s="2" t="s">
        <v>22</v>
      </c>
      <c r="F22" s="12">
        <v>1</v>
      </c>
      <c r="G22" s="7" t="str">
        <f>SUMIFS('Report'!$F$4:$F$10000,'Report'!$A$4:$A$10000, "&gt;=" &amp; A22,'Report'!$A$4:$A$10000, "&lt;=" &amp; B22,'Report'!$C$4:$C$10000, "&lt;=" &amp; C22,'Report'!$D$4:$D$10000, "&lt;=" &amp; D22)</f>
        <v>0</v>
      </c>
      <c r="H22" s="8" t="str">
        <f>SUMIFS('Report'!$G$4:$G$10000,'Report'!$A$4:$A$10000, "&gt;=" &amp; A22,'Report'!$A$4:$A$10000, "&lt;=" &amp; B22,'Report'!$C$4:$C$10000, "&lt;=" &amp; C22,'Report'!$D$4:$D$10000, "&lt;=" &amp; D22)</f>
        <v>0</v>
      </c>
      <c r="I22" s="9">
        <v>100000</v>
      </c>
      <c r="J22" s="7" t="str">
        <f>COUNTIFS('Report'!$A$4:$A$10000, "&gt;=" &amp; A22,'Report'!$A$4:$A$10000, "&lt;=" &amp; B22,'Report'!$C$4:$C$10000, "&lt;=" &amp; C22,'Report'!$D$4:$D$10000, "&lt;=" &amp; D22)</f>
        <v>0</v>
      </c>
      <c r="K22" s="9" t="str">
        <f>IF(G22=0, 0, I22/G22)</f>
        <v>0</v>
      </c>
      <c r="L22" s="9" t="str">
        <f>IF(G22=0, 0, I22/H22)</f>
        <v>0</v>
      </c>
      <c r="M22" s="9" t="str">
        <f>IF(G22=0, 0, I22/J22)</f>
        <v>0</v>
      </c>
    </row>
    <row r="23" spans="1:13">
      <c r="A23" s="10">
        <v>46001</v>
      </c>
      <c r="B23" s="10" t="str">
        <f>IF(A24="", A23, A24-1)</f>
        <v>0</v>
      </c>
      <c r="C23" s="2" t="s">
        <v>20</v>
      </c>
      <c r="D23" s="2" t="s">
        <v>21</v>
      </c>
      <c r="E23" s="2" t="s">
        <v>22</v>
      </c>
      <c r="F23" s="12">
        <v>1</v>
      </c>
      <c r="G23" s="7" t="str">
        <f>SUMIFS('Report'!$F$4:$F$10000,'Report'!$A$4:$A$10000, "&gt;=" &amp; A23,'Report'!$A$4:$A$10000, "&lt;=" &amp; B23,'Report'!$C$4:$C$10000, "&lt;=" &amp; C23,'Report'!$D$4:$D$10000, "&lt;=" &amp; D23)</f>
        <v>0</v>
      </c>
      <c r="H23" s="8" t="str">
        <f>SUMIFS('Report'!$G$4:$G$10000,'Report'!$A$4:$A$10000, "&gt;=" &amp; A23,'Report'!$A$4:$A$10000, "&lt;=" &amp; B23,'Report'!$C$4:$C$10000, "&lt;=" &amp; C23,'Report'!$D$4:$D$10000, "&lt;=" &amp; D23)</f>
        <v>0</v>
      </c>
      <c r="I23" s="9">
        <v>100000</v>
      </c>
      <c r="J23" s="7" t="str">
        <f>COUNTIFS('Report'!$A$4:$A$10000, "&gt;=" &amp; A23,'Report'!$A$4:$A$10000, "&lt;=" &amp; B23,'Report'!$C$4:$C$10000, "&lt;=" &amp; C23,'Report'!$D$4:$D$10000, "&lt;=" &amp; D23)</f>
        <v>0</v>
      </c>
      <c r="K23" s="9" t="str">
        <f>IF(G23=0, 0, I23/G23)</f>
        <v>0</v>
      </c>
      <c r="L23" s="9" t="str">
        <f>IF(G23=0, 0, I23/H23)</f>
        <v>0</v>
      </c>
      <c r="M23" s="9" t="str">
        <f>IF(G23=0, 0, I23/J23)</f>
        <v>0</v>
      </c>
    </row>
    <row r="24" spans="1:13">
      <c r="A24" s="10">
        <v>46004</v>
      </c>
      <c r="B24" s="10" t="str">
        <f>IF(A25="", A24, A25-1)</f>
        <v>0</v>
      </c>
      <c r="C24" s="2" t="s">
        <v>20</v>
      </c>
      <c r="D24" s="2" t="s">
        <v>21</v>
      </c>
      <c r="E24" s="2" t="s">
        <v>22</v>
      </c>
      <c r="F24" s="12">
        <v>1</v>
      </c>
      <c r="G24" s="7" t="str">
        <f>SUMIFS('Report'!$F$4:$F$10000,'Report'!$A$4:$A$10000, "&gt;=" &amp; A24,'Report'!$A$4:$A$10000, "&lt;=" &amp; B24,'Report'!$C$4:$C$10000, "&lt;=" &amp; C24,'Report'!$D$4:$D$10000, "&lt;=" &amp; D24)</f>
        <v>0</v>
      </c>
      <c r="H24" s="8" t="str">
        <f>SUMIFS('Report'!$G$4:$G$10000,'Report'!$A$4:$A$10000, "&gt;=" &amp; A24,'Report'!$A$4:$A$10000, "&lt;=" &amp; B24,'Report'!$C$4:$C$10000, "&lt;=" &amp; C24,'Report'!$D$4:$D$10000, "&lt;=" &amp; D24)</f>
        <v>0</v>
      </c>
      <c r="I24" s="9">
        <v>2345665</v>
      </c>
      <c r="J24" s="7" t="str">
        <f>COUNTIFS('Report'!$A$4:$A$10000, "&gt;=" &amp; A24,'Report'!$A$4:$A$10000, "&lt;=" &amp; B24,'Report'!$C$4:$C$10000, "&lt;=" &amp; C24,'Report'!$D$4:$D$10000, "&lt;=" &amp; D24)</f>
        <v>0</v>
      </c>
      <c r="K24" s="9" t="str">
        <f>IF(G24=0, 0, I24/G24)</f>
        <v>0</v>
      </c>
      <c r="L24" s="9" t="str">
        <f>IF(G24=0, 0, I24/H24)</f>
        <v>0</v>
      </c>
      <c r="M24" s="9" t="str">
        <f>IF(G24=0, 0, I24/J24)</f>
        <v>0</v>
      </c>
    </row>
    <row r="25" spans="1:13">
      <c r="A25" s="10">
        <v>46006</v>
      </c>
      <c r="B25" s="10" t="str">
        <f>IF(A26="", A25, A26-1)</f>
        <v>0</v>
      </c>
      <c r="C25" s="2" t="s">
        <v>20</v>
      </c>
      <c r="D25" s="2" t="s">
        <v>21</v>
      </c>
      <c r="E25" s="2" t="s">
        <v>22</v>
      </c>
      <c r="F25" s="12">
        <v>1</v>
      </c>
      <c r="G25" s="7" t="str">
        <f>SUMIFS('Report'!$F$4:$F$10000,'Report'!$A$4:$A$10000, "&gt;=" &amp; A25,'Report'!$A$4:$A$10000, "&lt;=" &amp; B25,'Report'!$C$4:$C$10000, "&lt;=" &amp; C25,'Report'!$D$4:$D$10000, "&lt;=" &amp; D25)</f>
        <v>0</v>
      </c>
      <c r="H25" s="8" t="str">
        <f>SUMIFS('Report'!$G$4:$G$10000,'Report'!$A$4:$A$10000, "&gt;=" &amp; A25,'Report'!$A$4:$A$10000, "&lt;=" &amp; B25,'Report'!$C$4:$C$10000, "&lt;=" &amp; C25,'Report'!$D$4:$D$10000, "&lt;=" &amp; D25)</f>
        <v>0</v>
      </c>
      <c r="I25" s="9">
        <v>100000</v>
      </c>
      <c r="J25" s="7" t="str">
        <f>COUNTIFS('Report'!$A$4:$A$10000, "&gt;=" &amp; A25,'Report'!$A$4:$A$10000, "&lt;=" &amp; B25,'Report'!$C$4:$C$10000, "&lt;=" &amp; C25,'Report'!$D$4:$D$10000, "&lt;=" &amp; D25)</f>
        <v>0</v>
      </c>
      <c r="K25" s="9" t="str">
        <f>IF(G25=0, 0, I25/G25)</f>
        <v>0</v>
      </c>
      <c r="L25" s="9" t="str">
        <f>IF(G25=0, 0, I25/H25)</f>
        <v>0</v>
      </c>
      <c r="M25" s="9" t="str">
        <f>IF(G25=0, 0, I25/J25)</f>
        <v>0</v>
      </c>
    </row>
    <row r="26" spans="1:13">
      <c r="A26" s="10">
        <v>46011</v>
      </c>
      <c r="B26" s="10" t="str">
        <f>IF(A27="", A26, A27-1)</f>
        <v>0</v>
      </c>
      <c r="C26" s="2" t="s">
        <v>20</v>
      </c>
      <c r="D26" s="2" t="s">
        <v>21</v>
      </c>
      <c r="E26" s="2" t="s">
        <v>22</v>
      </c>
      <c r="F26" s="12">
        <v>1</v>
      </c>
      <c r="G26" s="7" t="str">
        <f>SUMIFS('Report'!$F$4:$F$10000,'Report'!$A$4:$A$10000, "&gt;=" &amp; A26,'Report'!$A$4:$A$10000, "&lt;=" &amp; B26,'Report'!$C$4:$C$10000, "&lt;=" &amp; C26,'Report'!$D$4:$D$10000, "&lt;=" &amp; D26)</f>
        <v>0</v>
      </c>
      <c r="H26" s="8" t="str">
        <f>SUMIFS('Report'!$G$4:$G$10000,'Report'!$A$4:$A$10000, "&gt;=" &amp; A26,'Report'!$A$4:$A$10000, "&lt;=" &amp; B26,'Report'!$C$4:$C$10000, "&lt;=" &amp; C26,'Report'!$D$4:$D$10000, "&lt;=" &amp; D26)</f>
        <v>0</v>
      </c>
      <c r="I26" s="9">
        <v>100000</v>
      </c>
      <c r="J26" s="7" t="str">
        <f>COUNTIFS('Report'!$A$4:$A$10000, "&gt;=" &amp; A26,'Report'!$A$4:$A$10000, "&lt;=" &amp; B26,'Report'!$C$4:$C$10000, "&lt;=" &amp; C26,'Report'!$D$4:$D$10000, "&lt;=" &amp; D26)</f>
        <v>0</v>
      </c>
      <c r="K26" s="9" t="str">
        <f>IF(G26=0, 0, I26/G26)</f>
        <v>0</v>
      </c>
      <c r="L26" s="9" t="str">
        <f>IF(G26=0, 0, I26/H26)</f>
        <v>0</v>
      </c>
      <c r="M26" s="9" t="str">
        <f>IF(G26=0, 0, I26/J26)</f>
        <v>0</v>
      </c>
    </row>
    <row r="27" spans="1:13">
      <c r="A27" s="10">
        <v>46016</v>
      </c>
      <c r="B27" s="10" t="str">
        <f>IF(A28="", A27, A28-1)</f>
        <v>0</v>
      </c>
      <c r="C27" s="2" t="s">
        <v>20</v>
      </c>
      <c r="D27" s="2" t="s">
        <v>21</v>
      </c>
      <c r="E27" s="2" t="s">
        <v>22</v>
      </c>
      <c r="F27" s="12">
        <v>1</v>
      </c>
      <c r="G27" s="7" t="str">
        <f>SUMIFS('Report'!$F$4:$F$10000,'Report'!$A$4:$A$10000, "&gt;=" &amp; A27,'Report'!$A$4:$A$10000, "&lt;=" &amp; B27,'Report'!$C$4:$C$10000, "&lt;=" &amp; C27,'Report'!$D$4:$D$10000, "&lt;=" &amp; D27)</f>
        <v>0</v>
      </c>
      <c r="H27" s="8" t="str">
        <f>SUMIFS('Report'!$G$4:$G$10000,'Report'!$A$4:$A$10000, "&gt;=" &amp; A27,'Report'!$A$4:$A$10000, "&lt;=" &amp; B27,'Report'!$C$4:$C$10000, "&lt;=" &amp; C27,'Report'!$D$4:$D$10000, "&lt;=" &amp; D27)</f>
        <v>0</v>
      </c>
      <c r="I27" s="9">
        <v>100000</v>
      </c>
      <c r="J27" s="7" t="str">
        <f>COUNTIFS('Report'!$A$4:$A$10000, "&gt;=" &amp; A27,'Report'!$A$4:$A$10000, "&lt;=" &amp; B27,'Report'!$C$4:$C$10000, "&lt;=" &amp; C27,'Report'!$D$4:$D$10000, "&lt;=" &amp; D27)</f>
        <v>0</v>
      </c>
      <c r="K27" s="9" t="str">
        <f>IF(G27=0, 0, I27/G27)</f>
        <v>0</v>
      </c>
      <c r="L27" s="9" t="str">
        <f>IF(G27=0, 0, I27/H27)</f>
        <v>0</v>
      </c>
      <c r="M27" s="9" t="str">
        <f>IF(G27=0, 0, I27/J27)</f>
        <v>0</v>
      </c>
    </row>
    <row r="28" spans="1:13">
      <c r="A28" s="10">
        <v>46021</v>
      </c>
      <c r="B28" s="10" t="str">
        <f>IF(A29="", A28, A29-1)</f>
        <v>0</v>
      </c>
      <c r="C28" s="2" t="s">
        <v>20</v>
      </c>
      <c r="D28" s="2" t="s">
        <v>21</v>
      </c>
      <c r="E28" s="2" t="s">
        <v>22</v>
      </c>
      <c r="F28" s="12">
        <v>1</v>
      </c>
      <c r="G28" s="7" t="str">
        <f>SUMIFS('Report'!$F$4:$F$10000,'Report'!$A$4:$A$10000, "&gt;=" &amp; A28,'Report'!$A$4:$A$10000, "&lt;=" &amp; B28,'Report'!$C$4:$C$10000, "&lt;=" &amp; C28,'Report'!$D$4:$D$10000, "&lt;=" &amp; D28)</f>
        <v>0</v>
      </c>
      <c r="H28" s="8" t="str">
        <f>SUMIFS('Report'!$G$4:$G$10000,'Report'!$A$4:$A$10000, "&gt;=" &amp; A28,'Report'!$A$4:$A$10000, "&lt;=" &amp; B28,'Report'!$C$4:$C$10000, "&lt;=" &amp; C28,'Report'!$D$4:$D$10000, "&lt;=" &amp; D28)</f>
        <v>0</v>
      </c>
      <c r="I28" s="9">
        <v>10000</v>
      </c>
      <c r="J28" s="7" t="str">
        <f>COUNTIFS('Report'!$A$4:$A$10000, "&gt;=" &amp; A28,'Report'!$A$4:$A$10000, "&lt;=" &amp; B28,'Report'!$C$4:$C$10000, "&lt;=" &amp; C28,'Report'!$D$4:$D$10000, "&lt;=" &amp; D28)</f>
        <v>0</v>
      </c>
      <c r="K28" s="9" t="str">
        <f>IF(G28=0, 0, I28/G28)</f>
        <v>0</v>
      </c>
      <c r="L28" s="9" t="str">
        <f>IF(G28=0, 0, I28/H28)</f>
        <v>0</v>
      </c>
      <c r="M28" s="9" t="str">
        <f>IF(G28=0, 0, I28/J28)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M28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M5"/>
  <sheetViews>
    <sheetView tabSelected="0" workbookViewId="0" zoomScale="95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0" customWidth="true" style="0"/>
    <col min="5" max="5" width="20" customWidth="true" style="0"/>
    <col min="6" max="6" width="18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</cols>
  <sheetData>
    <row r="4" spans="1:13">
      <c r="A4" s="1" t="s">
        <v>58</v>
      </c>
      <c r="B4" s="1" t="s">
        <v>59</v>
      </c>
      <c r="C4" s="1" t="s">
        <v>2</v>
      </c>
      <c r="D4" s="1" t="s">
        <v>3</v>
      </c>
      <c r="E4" s="1" t="s">
        <v>4</v>
      </c>
      <c r="F4" s="1" t="s">
        <v>68</v>
      </c>
      <c r="G4" s="1" t="s">
        <v>5</v>
      </c>
      <c r="H4" s="1" t="s">
        <v>6</v>
      </c>
      <c r="I4" s="1" t="s">
        <v>67</v>
      </c>
      <c r="J4" s="1" t="s">
        <v>70</v>
      </c>
      <c r="K4" s="1" t="s">
        <v>63</v>
      </c>
      <c r="L4" s="1" t="s">
        <v>64</v>
      </c>
      <c r="M4" s="1" t="s">
        <v>71</v>
      </c>
    </row>
    <row r="5" spans="1:13">
      <c r="A5" s="10">
        <v>46029</v>
      </c>
      <c r="B5" s="10" t="str">
        <f>IF(A6="", A5, A6-1)</f>
        <v>0</v>
      </c>
      <c r="C5" s="2" t="s">
        <v>20</v>
      </c>
      <c r="D5" s="2" t="s">
        <v>21</v>
      </c>
      <c r="E5" s="2" t="s">
        <v>22</v>
      </c>
      <c r="F5" s="12">
        <v>0</v>
      </c>
      <c r="G5" s="7" t="str">
        <f>SUMIFS('Report'!$F$4:$F$10000,'Report'!$A$4:$A$10000, "&gt;=" &amp; A5,'Report'!$A$4:$A$10000, "&lt;=" &amp; B5,'Report'!$C$4:$C$10000, "&lt;=" &amp; C5,'Report'!$D$4:$D$10000, "&lt;=" &amp; D5)</f>
        <v>0</v>
      </c>
      <c r="H5" s="8" t="str">
        <f>SUMIFS('Report'!$G$4:$G$10000,'Report'!$A$4:$A$10000, "&gt;=" &amp; A5,'Report'!$A$4:$A$10000, "&lt;=" &amp; B5,'Report'!$C$4:$C$10000, "&lt;=" &amp; C5,'Report'!$D$4:$D$10000, "&lt;=" &amp; D5)</f>
        <v>0</v>
      </c>
      <c r="I5" s="9">
        <v>12301</v>
      </c>
      <c r="J5" s="7" t="str">
        <f>COUNTIFS('Report'!$A$4:$A$10000, "&gt;=" &amp; A5,'Report'!$A$4:$A$10000, "&lt;=" &amp; B5,'Report'!$C$4:$C$10000, "&lt;=" &amp; C5,'Report'!$D$4:$D$10000, "&lt;=" &amp; D5)</f>
        <v>0</v>
      </c>
      <c r="K5" s="9" t="str">
        <f>IF(G5=0, 0, I5/G5)</f>
        <v>0</v>
      </c>
      <c r="L5" s="9" t="str">
        <f>IF(G5=0, 0, I5/H5)</f>
        <v>0</v>
      </c>
      <c r="M5" s="9" t="str">
        <f>IF(G5=0, 0, I5/J5)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M5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5" customWidth="true" style="0"/>
    <col min="4" max="4" width="25" customWidth="true" style="0"/>
  </cols>
  <sheetData>
    <row r="3" spans="1:4">
      <c r="B3" s="3" t="s">
        <v>72</v>
      </c>
      <c r="C3" s="3" t="s">
        <v>73</v>
      </c>
      <c r="D3" s="3" t="s">
        <v>74</v>
      </c>
    </row>
    <row r="4" spans="1:4">
      <c r="A4" s="3" t="s">
        <v>75</v>
      </c>
      <c r="B4" s="7" t="str">
        <f>'Extraction Cost'!$G$3</f>
        <v>0</v>
      </c>
      <c r="C4" s="7" t="str">
        <f>'Report'!$F$3</f>
        <v>0</v>
      </c>
      <c r="D4" s="7" t="str">
        <f>B4-C4</f>
        <v>0</v>
      </c>
    </row>
    <row r="5" spans="1:4">
      <c r="A5" s="3" t="s">
        <v>76</v>
      </c>
      <c r="B5" s="8" t="str">
        <f>'Extraction Cost'!$H$3</f>
        <v>0</v>
      </c>
      <c r="C5" s="8" t="str">
        <f>'Report'!$G$3</f>
        <v>0</v>
      </c>
      <c r="D5" s="8" t="str">
        <f>B5-C5</f>
        <v>0</v>
      </c>
    </row>
    <row r="6" spans="1:4">
      <c r="A6" s="3" t="s">
        <v>8</v>
      </c>
      <c r="B6" s="9" t="str">
        <f>'Report'!$I$3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</vt:lpstr>
      <vt:lpstr>Extraction Cost</vt:lpstr>
      <vt:lpstr>Maintenance Cost</vt:lpstr>
      <vt:lpstr>Machine Rental Cost</vt:lpstr>
      <vt:lpstr>Labour Cost</vt:lpstr>
      <vt:lpstr>ACPM Cost</vt:lpstr>
      <vt:lpstr>Lubricants Cost</vt:lpstr>
      <vt:lpstr>Miscellaneous</vt:lpstr>
      <vt:lpstr>Inventory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2026-01-08T21:13:18+01:00</dcterms:created>
  <dcterms:modified xsi:type="dcterms:W3CDTF">2026-01-08T21:13:18+01:00</dcterms:modified>
  <dc:title>Untitled Spreadsheet</dc:title>
  <dc:description/>
  <dc:subject/>
  <cp:keywords/>
  <cp:category/>
</cp:coreProperties>
</file>